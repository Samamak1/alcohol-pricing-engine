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43820" yWindow="5560" windowWidth="28800" windowHeight="15410" tabRatio="600" firstSheet="0" activeTab="0" autoFilterDateGrouping="1"/>
  </bookViews>
  <sheets>
    <sheet xmlns:r="http://schemas.openxmlformats.org/officeDocument/2006/relationships" name="pricing" sheetId="1" state="visible" r:id="rId1"/>
    <sheet xmlns:r="http://schemas.openxmlformats.org/officeDocument/2006/relationships" name="wines" sheetId="2" state="visible" r:id="rId2"/>
    <sheet xmlns:r="http://schemas.openxmlformats.org/officeDocument/2006/relationships" name="beer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.00_);[Red]\(&quot;$&quot;#,##0.00\)"/>
    <numFmt numFmtId="165" formatCode="&quot;$&quot;#,##0_);[Red]\(&quot;$&quot;#,##0\)"/>
    <numFmt numFmtId="166" formatCode="&quot;$&quot;#,##0"/>
    <numFmt numFmtId="167" formatCode="&quot;$&quot;#,##0.00"/>
  </numFmts>
  <fonts count="14">
    <font>
      <name val="Arial"/>
      <color rgb="FF000000"/>
      <sz val="10"/>
      <scheme val="minor"/>
    </font>
    <font>
      <name val="Söhne"/>
      <color rgb="FF000000"/>
      <sz val="12"/>
    </font>
    <font>
      <name val="Arial"/>
      <family val="2"/>
      <color rgb="FF000000"/>
      <sz val="10"/>
      <scheme val="minor"/>
    </font>
    <font>
      <name val="Arial"/>
      <family val="2"/>
      <b val="1"/>
      <i val="1"/>
      <color theme="1"/>
      <sz val="12"/>
    </font>
    <font>
      <name val="Arial"/>
      <family val="2"/>
      <b val="1"/>
      <color theme="1"/>
      <sz val="12"/>
    </font>
    <font>
      <name val="Arial"/>
      <family val="2"/>
      <sz val="12"/>
    </font>
    <font>
      <name val="Arial"/>
      <family val="2"/>
      <color rgb="FF000000"/>
      <sz val="12"/>
      <scheme val="minor"/>
    </font>
    <font>
      <name val="Arial"/>
      <family val="2"/>
      <color theme="1"/>
      <sz val="12"/>
    </font>
    <font>
      <name val="Arial"/>
      <family val="2"/>
      <b val="1"/>
      <i val="1"/>
      <color rgb="FF000000"/>
      <sz val="12"/>
    </font>
    <font>
      <name val="Arial"/>
      <family val="2"/>
      <color theme="1"/>
      <sz val="12"/>
      <scheme val="minor"/>
    </font>
    <font>
      <name val="Arial"/>
      <family val="2"/>
      <b val="1"/>
      <color theme="1"/>
      <sz val="12"/>
      <scheme val="minor"/>
    </font>
    <font>
      <name val="Arial"/>
      <family val="2"/>
      <b val="1"/>
      <i val="1"/>
      <color theme="1"/>
      <sz val="12"/>
      <scheme val="minor"/>
    </font>
    <font>
      <name val="Arial"/>
      <family val="2"/>
      <b val="1"/>
      <color rgb="FF000000"/>
      <sz val="12"/>
      <scheme val="minor"/>
    </font>
    <font>
      <name val="Arial"/>
      <family val="2"/>
      <color rgb="FF000000"/>
      <sz val="10"/>
      <u val="single"/>
      <scheme val="minor"/>
    </font>
  </fonts>
  <fills count="12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rgb="FFCFE2F3"/>
        <bgColor rgb="FFCFE2F3"/>
      </patternFill>
    </fill>
    <fill>
      <patternFill patternType="solid">
        <fgColor rgb="FF444654"/>
        <bgColor rgb="FF444654"/>
      </patternFill>
    </fill>
    <fill>
      <patternFill patternType="solid">
        <fgColor rgb="FF00B0F0"/>
        <bgColor rgb="FFFFFF00"/>
      </patternFill>
    </fill>
    <fill>
      <patternFill patternType="solid">
        <fgColor rgb="FF00B0F0"/>
        <bgColor rgb="FFF9CB9C"/>
      </patternFill>
    </fill>
    <fill>
      <patternFill patternType="solid">
        <fgColor rgb="FF00B0F0"/>
        <bgColor rgb="FFCFE2F3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25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8">
    <xf numFmtId="0" fontId="0" fillId="0" borderId="0" pivotButton="0" quotePrefix="0" xfId="0"/>
    <xf numFmtId="22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7" fillId="0" borderId="14" applyAlignment="1" pivotButton="0" quotePrefix="0" xfId="0">
      <alignment horizontal="center"/>
    </xf>
    <xf numFmtId="0" fontId="7" fillId="0" borderId="8" pivotButton="0" quotePrefix="0" xfId="0"/>
    <xf numFmtId="0" fontId="7" fillId="0" borderId="8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22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5" fontId="0" fillId="0" borderId="0" pivotButton="0" quotePrefix="0" xfId="0"/>
    <xf numFmtId="165" fontId="0" fillId="0" borderId="0" applyAlignment="1" pivotButton="0" quotePrefix="0" xfId="0">
      <alignment horizontal="center"/>
    </xf>
    <xf numFmtId="38" fontId="0" fillId="0" borderId="0" applyAlignment="1" pivotButton="0" quotePrefix="0" xfId="0">
      <alignment horizontal="center"/>
    </xf>
    <xf numFmtId="164" fontId="2" fillId="0" borderId="0" pivotButton="0" quotePrefix="0" xfId="0"/>
    <xf numFmtId="0" fontId="13" fillId="0" borderId="0" pivotButton="0" quotePrefix="0" xfId="0"/>
    <xf numFmtId="0" fontId="1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166" fontId="4" fillId="3" borderId="18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center" vertical="center" wrapText="1"/>
    </xf>
    <xf numFmtId="166" fontId="4" fillId="4" borderId="18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166" fontId="4" fillId="6" borderId="4" applyAlignment="1" pivotButton="0" quotePrefix="0" xfId="0">
      <alignment horizontal="center" vertical="center" wrapText="1"/>
    </xf>
    <xf numFmtId="166" fontId="4" fillId="3" borderId="22" applyAlignment="1" pivotButton="0" quotePrefix="0" xfId="0">
      <alignment horizontal="center" vertical="center" wrapText="1"/>
    </xf>
    <xf numFmtId="166" fontId="4" fillId="7" borderId="23" applyAlignment="1" pivotButton="0" quotePrefix="0" xfId="0">
      <alignment horizontal="center" vertical="center" wrapText="1"/>
    </xf>
    <xf numFmtId="166" fontId="4" fillId="4" borderId="22" applyAlignment="1" pivotButton="0" quotePrefix="0" xfId="0">
      <alignment horizontal="center" vertical="center" wrapText="1"/>
    </xf>
    <xf numFmtId="166" fontId="4" fillId="8" borderId="23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7" fillId="2" borderId="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167" fontId="7" fillId="0" borderId="11" applyAlignment="1" pivotButton="0" quotePrefix="0" xfId="0">
      <alignment horizontal="center" vertical="center" wrapText="1"/>
    </xf>
    <xf numFmtId="2" fontId="7" fillId="2" borderId="13" applyAlignment="1" pivotButton="0" quotePrefix="0" xfId="0">
      <alignment horizontal="center" vertical="center" wrapText="1"/>
    </xf>
    <xf numFmtId="2" fontId="7" fillId="2" borderId="9" applyAlignment="1" pivotButton="0" quotePrefix="0" xfId="0">
      <alignment horizontal="center" vertical="center" wrapText="1"/>
    </xf>
    <xf numFmtId="167" fontId="4" fillId="2" borderId="9" applyAlignment="1" pivotButton="0" quotePrefix="0" xfId="0">
      <alignment horizontal="center" vertical="center" wrapText="1"/>
    </xf>
    <xf numFmtId="166" fontId="7" fillId="2" borderId="13" applyAlignment="1" pivotButton="0" quotePrefix="0" xfId="0">
      <alignment horizontal="center" vertical="center" wrapText="1"/>
    </xf>
    <xf numFmtId="166" fontId="4" fillId="3" borderId="20" applyAlignment="1" pivotButton="0" quotePrefix="0" xfId="0">
      <alignment horizontal="center" vertical="center" wrapText="1"/>
    </xf>
    <xf numFmtId="166" fontId="7" fillId="3" borderId="21" applyAlignment="1" pivotButton="0" quotePrefix="0" xfId="0">
      <alignment horizontal="center" vertical="center" wrapText="1"/>
    </xf>
    <xf numFmtId="166" fontId="4" fillId="4" borderId="20" applyAlignment="1" pivotButton="0" quotePrefix="0" xfId="0">
      <alignment horizontal="center" vertical="center" wrapText="1"/>
    </xf>
    <xf numFmtId="166" fontId="7" fillId="4" borderId="21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7" fillId="9" borderId="14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2" fontId="7" fillId="2" borderId="0" applyAlignment="1" pivotButton="0" quotePrefix="0" xfId="0">
      <alignment horizontal="center" vertical="center" wrapText="1"/>
    </xf>
    <xf numFmtId="2" fontId="7" fillId="2" borderId="8" applyAlignment="1" pivotButton="0" quotePrefix="0" xfId="0">
      <alignment horizontal="center" vertical="center" wrapText="1"/>
    </xf>
    <xf numFmtId="167" fontId="4" fillId="2" borderId="8" applyAlignment="1" pivotButton="0" quotePrefix="0" xfId="0">
      <alignment horizontal="center" vertical="center" wrapText="1"/>
    </xf>
    <xf numFmtId="166" fontId="7" fillId="2" borderId="0" applyAlignment="1" pivotButton="0" quotePrefix="0" xfId="0">
      <alignment horizontal="center" vertical="center" wrapText="1"/>
    </xf>
    <xf numFmtId="0" fontId="7" fillId="11" borderId="14" applyAlignment="1" pivotButton="0" quotePrefix="0" xfId="0">
      <alignment horizontal="center" vertical="center" wrapText="1"/>
    </xf>
    <xf numFmtId="0" fontId="7" fillId="10" borderId="14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1" fillId="5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9" fillId="2" borderId="8" applyAlignment="1" pivotButton="0" quotePrefix="0" xfId="0">
      <alignment horizontal="center" vertical="center" wrapText="1"/>
    </xf>
    <xf numFmtId="0" fontId="11" fillId="0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0" borderId="16" applyAlignment="1" pivotButton="0" quotePrefix="0" xfId="0">
      <alignment horizontal="center" vertical="center" wrapText="1"/>
    </xf>
    <xf numFmtId="0" fontId="9" fillId="0" borderId="15" applyAlignment="1" pivotButton="0" quotePrefix="0" xfId="0">
      <alignment horizontal="center" vertical="center" wrapText="1"/>
    </xf>
    <xf numFmtId="2" fontId="7" fillId="2" borderId="17" applyAlignment="1" pivotButton="0" quotePrefix="0" xfId="0">
      <alignment horizontal="center" vertical="center" wrapText="1"/>
    </xf>
    <xf numFmtId="2" fontId="7" fillId="2" borderId="15" applyAlignment="1" pivotButton="0" quotePrefix="0" xfId="0">
      <alignment horizontal="center" vertical="center" wrapText="1"/>
    </xf>
    <xf numFmtId="167" fontId="4" fillId="2" borderId="15" applyAlignment="1" pivotButton="0" quotePrefix="0" xfId="0">
      <alignment horizontal="center" vertical="center" wrapText="1"/>
    </xf>
    <xf numFmtId="166" fontId="7" fillId="2" borderId="17" applyAlignment="1" pivotButton="0" quotePrefix="0" xfId="0">
      <alignment horizontal="center" vertical="center" wrapText="1"/>
    </xf>
    <xf numFmtId="166" fontId="7" fillId="3" borderId="23" applyAlignment="1" pivotButton="0" quotePrefix="0" xfId="0">
      <alignment horizontal="center" vertical="center" wrapText="1"/>
    </xf>
    <xf numFmtId="166" fontId="7" fillId="4" borderId="23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166" fontId="9" fillId="2" borderId="0" applyAlignment="1" pivotButton="0" quotePrefix="0" xfId="0">
      <alignment horizontal="center" vertical="center" wrapText="1"/>
    </xf>
    <xf numFmtId="166" fontId="10" fillId="3" borderId="0" applyAlignment="1" pivotButton="0" quotePrefix="0" xfId="0">
      <alignment horizontal="center" vertical="center" wrapText="1"/>
    </xf>
    <xf numFmtId="166" fontId="9" fillId="3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2" fillId="0" borderId="24" applyAlignment="1" pivotButton="0" quotePrefix="0" xfId="0">
      <alignment horizontal="center" vertical="center" wrapText="1"/>
    </xf>
    <xf numFmtId="14" fontId="2" fillId="0" borderId="24" applyAlignment="1" pivotButton="0" quotePrefix="0" xfId="0">
      <alignment horizontal="center" vertical="center" wrapText="1"/>
    </xf>
    <xf numFmtId="20" fontId="2" fillId="0" borderId="24" applyAlignment="1" pivotButton="0" quotePrefix="0" xfId="0">
      <alignment horizontal="center" vertical="center" wrapText="1"/>
    </xf>
    <xf numFmtId="0" fontId="2" fillId="0" borderId="24" applyAlignment="1" pivotButton="0" quotePrefix="0" xfId="0">
      <alignment vertical="center" wrapText="1"/>
    </xf>
    <xf numFmtId="166" fontId="4" fillId="3" borderId="18" applyAlignment="1" pivotButton="0" quotePrefix="0" xfId="0">
      <alignment horizontal="center" vertical="center" wrapText="1"/>
    </xf>
    <xf numFmtId="166" fontId="4" fillId="4" borderId="18" applyAlignment="1" pivotButton="0" quotePrefix="0" xfId="0">
      <alignment horizontal="center" vertical="center" wrapText="1"/>
    </xf>
    <xf numFmtId="166" fontId="4" fillId="6" borderId="4" applyAlignment="1" pivotButton="0" quotePrefix="0" xfId="0">
      <alignment horizontal="center" vertical="center" wrapText="1"/>
    </xf>
    <xf numFmtId="166" fontId="4" fillId="3" borderId="22" applyAlignment="1" pivotButton="0" quotePrefix="0" xfId="0">
      <alignment horizontal="center" vertical="center" wrapText="1"/>
    </xf>
    <xf numFmtId="166" fontId="4" fillId="7" borderId="23" applyAlignment="1" pivotButton="0" quotePrefix="0" xfId="0">
      <alignment horizontal="center" vertical="center" wrapText="1"/>
    </xf>
    <xf numFmtId="166" fontId="4" fillId="4" borderId="22" applyAlignment="1" pivotButton="0" quotePrefix="0" xfId="0">
      <alignment horizontal="center" vertical="center" wrapText="1"/>
    </xf>
    <xf numFmtId="166" fontId="4" fillId="8" borderId="23" applyAlignment="1" pivotButton="0" quotePrefix="0" xfId="0">
      <alignment horizontal="center" vertical="center" wrapText="1"/>
    </xf>
    <xf numFmtId="167" fontId="7" fillId="0" borderId="11" applyAlignment="1" pivotButton="0" quotePrefix="0" xfId="0">
      <alignment horizontal="center" vertical="center" wrapText="1"/>
    </xf>
    <xf numFmtId="167" fontId="4" fillId="2" borderId="9" applyAlignment="1" pivotButton="0" quotePrefix="0" xfId="0">
      <alignment horizontal="center" vertical="center" wrapText="1"/>
    </xf>
    <xf numFmtId="166" fontId="7" fillId="2" borderId="13" applyAlignment="1" pivotButton="0" quotePrefix="0" xfId="0">
      <alignment horizontal="center" vertical="center" wrapText="1"/>
    </xf>
    <xf numFmtId="166" fontId="4" fillId="3" borderId="20" applyAlignment="1" pivotButton="0" quotePrefix="0" xfId="0">
      <alignment horizontal="center" vertical="center" wrapText="1"/>
    </xf>
    <xf numFmtId="166" fontId="7" fillId="3" borderId="21" applyAlignment="1" pivotButton="0" quotePrefix="0" xfId="0">
      <alignment horizontal="center" vertical="center" wrapText="1"/>
    </xf>
    <xf numFmtId="166" fontId="4" fillId="4" borderId="20" applyAlignment="1" pivotButton="0" quotePrefix="0" xfId="0">
      <alignment horizontal="center" vertical="center" wrapText="1"/>
    </xf>
    <xf numFmtId="166" fontId="7" fillId="4" borderId="21" applyAlignment="1" pivotButton="0" quotePrefix="0" xfId="0">
      <alignment horizontal="center" vertical="center" wrapText="1"/>
    </xf>
    <xf numFmtId="167" fontId="4" fillId="2" borderId="8" applyAlignment="1" pivotButton="0" quotePrefix="0" xfId="0">
      <alignment horizontal="center" vertical="center" wrapText="1"/>
    </xf>
    <xf numFmtId="166" fontId="7" fillId="2" borderId="0" applyAlignment="1" pivotButton="0" quotePrefix="0" xfId="0">
      <alignment horizontal="center" vertical="center" wrapText="1"/>
    </xf>
    <xf numFmtId="167" fontId="4" fillId="2" borderId="15" applyAlignment="1" pivotButton="0" quotePrefix="0" xfId="0">
      <alignment horizontal="center" vertical="center" wrapText="1"/>
    </xf>
    <xf numFmtId="166" fontId="7" fillId="2" borderId="17" applyAlignment="1" pivotButton="0" quotePrefix="0" xfId="0">
      <alignment horizontal="center" vertical="center" wrapText="1"/>
    </xf>
    <xf numFmtId="166" fontId="7" fillId="3" borderId="23" applyAlignment="1" pivotButton="0" quotePrefix="0" xfId="0">
      <alignment horizontal="center" vertical="center" wrapText="1"/>
    </xf>
    <xf numFmtId="166" fontId="7" fillId="4" borderId="23" applyAlignment="1" pivotButton="0" quotePrefix="0" xfId="0">
      <alignment horizontal="center" vertical="center" wrapText="1"/>
    </xf>
    <xf numFmtId="166" fontId="9" fillId="2" borderId="0" applyAlignment="1" pivotButton="0" quotePrefix="0" xfId="0">
      <alignment horizontal="center" vertical="center" wrapText="1"/>
    </xf>
    <xf numFmtId="166" fontId="10" fillId="3" borderId="0" applyAlignment="1" pivotButton="0" quotePrefix="0" xfId="0">
      <alignment horizontal="center" vertical="center" wrapText="1"/>
    </xf>
    <xf numFmtId="166" fontId="9" fillId="3" borderId="0" applyAlignment="1" pivotButton="0" quotePrefix="0" xfId="0">
      <alignment horizontal="center" vertical="center" wrapText="1"/>
    </xf>
    <xf numFmtId="164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S1002"/>
  <sheetViews>
    <sheetView topLeftCell="D1" zoomScale="69" workbookViewId="0">
      <selection activeCell="Q3" sqref="Q3"/>
    </sheetView>
  </sheetViews>
  <sheetFormatPr baseColWidth="8" defaultColWidth="12.54296875" defaultRowHeight="15" customHeight="1"/>
  <cols>
    <col width="7.7265625" customWidth="1" style="26" min="1" max="1"/>
    <col width="12.54296875" customWidth="1" style="26" min="2" max="3"/>
    <col width="67.26953125" customWidth="1" style="26" min="4" max="4"/>
    <col width="12.54296875" customWidth="1" style="26" min="5" max="6"/>
    <col width="18" customWidth="1" style="26" min="7" max="7"/>
    <col width="23.1796875" customWidth="1" style="26" min="8" max="8"/>
    <col width="12.54296875" customWidth="1" style="85" min="9" max="9"/>
    <col width="12.54296875" customWidth="1" style="26" min="10" max="19"/>
    <col width="18" customWidth="1" style="26" min="20" max="20"/>
    <col width="12.54296875" customWidth="1" style="26" min="21" max="16384"/>
  </cols>
  <sheetData>
    <row r="1" ht="15.75" customHeight="1" thickBot="1" thickTop="1">
      <c r="A1" s="17" t="n"/>
      <c r="B1" s="18" t="n"/>
      <c r="C1" s="19" t="n"/>
      <c r="D1" s="20" t="n"/>
      <c r="E1" s="20" t="n"/>
      <c r="F1" s="20" t="n"/>
      <c r="G1" s="21" t="n"/>
      <c r="H1" s="21" t="n"/>
      <c r="I1" s="21" t="n"/>
      <c r="J1" s="22" t="n"/>
      <c r="K1" s="90" t="n"/>
      <c r="L1" s="24" t="n"/>
      <c r="M1" s="91" t="n"/>
      <c r="N1" s="24" t="n"/>
      <c r="O1" s="26" t="inlineStr">
        <is>
          <t>2.5-3</t>
        </is>
      </c>
      <c r="P1" s="26" t="inlineStr">
        <is>
          <t>bottle</t>
        </is>
      </c>
      <c r="R1" s="26" t="inlineStr">
        <is>
          <t>Tequila</t>
        </is>
      </c>
      <c r="S1" s="26" t="inlineStr">
        <is>
          <t>Gin</t>
        </is>
      </c>
    </row>
    <row r="2" ht="15.75" customHeight="1" thickBot="1" thickTop="1">
      <c r="A2" s="27" t="n"/>
      <c r="B2" s="28" t="inlineStr">
        <is>
          <t>alcohol</t>
        </is>
      </c>
      <c r="C2" s="29" t="inlineStr">
        <is>
          <t>age</t>
        </is>
      </c>
      <c r="D2" s="20" t="inlineStr">
        <is>
          <t>brand</t>
        </is>
      </c>
      <c r="E2" s="20" t="inlineStr">
        <is>
          <t>ML</t>
        </is>
      </c>
      <c r="F2" s="20" t="inlineStr">
        <is>
          <t>cost</t>
        </is>
      </c>
      <c r="G2" s="21" t="inlineStr">
        <is>
          <t>1 ml</t>
        </is>
      </c>
      <c r="H2" s="21" t="inlineStr">
        <is>
          <t>ounces</t>
        </is>
      </c>
      <c r="I2" s="21" t="inlineStr">
        <is>
          <t>1 ounce</t>
        </is>
      </c>
      <c r="J2" s="92" t="inlineStr">
        <is>
          <t>4x</t>
        </is>
      </c>
      <c r="K2" s="93" t="inlineStr">
        <is>
          <t>cost 1.5oz</t>
        </is>
      </c>
      <c r="L2" s="94" t="inlineStr">
        <is>
          <t>4x</t>
        </is>
      </c>
      <c r="M2" s="95" t="inlineStr">
        <is>
          <t>cost 2oz</t>
        </is>
      </c>
      <c r="N2" s="96" t="inlineStr">
        <is>
          <t>4x</t>
        </is>
      </c>
    </row>
    <row r="3" ht="28.5" customHeight="1" thickBot="1" thickTop="1">
      <c r="A3" s="35" t="n">
        <v>1</v>
      </c>
      <c r="B3" s="36" t="inlineStr">
        <is>
          <t>tequila</t>
        </is>
      </c>
      <c r="C3" s="37" t="n"/>
      <c r="D3" s="38" t="inlineStr">
        <is>
          <t>123 Organic Extra Anejo Tequila (750mL) $183.05 -1</t>
        </is>
      </c>
      <c r="E3" s="39" t="n">
        <v>750</v>
      </c>
      <c r="F3" s="97" t="n">
        <v>183.05</v>
      </c>
      <c r="G3" s="41" t="n">
        <v>29.57</v>
      </c>
      <c r="H3" s="42">
        <f>SUM(E3/G3)</f>
        <v/>
      </c>
      <c r="I3" s="98">
        <f>SUM(F3/H3)</f>
        <v/>
      </c>
      <c r="J3" s="99">
        <f>SUM(4*I3)</f>
        <v/>
      </c>
      <c r="K3" s="100">
        <f>SUM(I3*1.5)</f>
        <v/>
      </c>
      <c r="L3" s="101">
        <f>SUM(K3*4)</f>
        <v/>
      </c>
      <c r="M3" s="102">
        <f>SUM(I3*2)</f>
        <v/>
      </c>
      <c r="N3" s="103">
        <f>SUM(M3*4)</f>
        <v/>
      </c>
    </row>
    <row r="4" ht="19.5" customHeight="1" thickBot="1">
      <c r="A4" s="35" t="n">
        <v>295</v>
      </c>
      <c r="B4" s="49">
        <f>IF(OR(ISNUMBER(SEARCH("Tequila", C4)), ISNUMBER(SEARCH("Tequila", D4))), "Tequila",
 IF(OR(ISNUMBER(SEARCH("Rum", C4)), ISNUMBER(SEARCH("Rum", D4))), "Rum",
 IF(OR(ISNUMBER(SEARCH("Whiskey", C4)), ISNUMBER(SEARCH("Whiskey", D4))), "Whiskey",
 IF(OR(ISNUMBER(SEARCH("Gin", C4)), ISNUMBER(SEARCH("Gin", D4))), "Gin",
 IF(OR(ISNUMBER(SEARCH("Liqueur", C4)), ISNUMBER(SEARCH("Liqueur", D4))), "Liqueur", "")))))</f>
        <v/>
      </c>
      <c r="C4" s="50" t="n"/>
      <c r="D4" s="51" t="inlineStr">
        <is>
          <t>123 Organic Extra Anejo Tequila (750mL/item) - $174.05 3</t>
        </is>
      </c>
      <c r="E4" s="52" t="n">
        <v>750</v>
      </c>
      <c r="F4" s="51">
        <f>TRIM(MID(D4, FIND("$", D4), FIND(" ", D4, FIND("$", D4)) - FIND("$", D4))
)</f>
        <v/>
      </c>
      <c r="G4" s="53" t="n">
        <v>29.57</v>
      </c>
      <c r="H4" s="54">
        <f>SUM(E4/G4)</f>
        <v/>
      </c>
      <c r="I4" s="104">
        <f>SUM(F4/H4)</f>
        <v/>
      </c>
      <c r="J4" s="105">
        <f>SUM(4*I4)</f>
        <v/>
      </c>
      <c r="K4" s="100">
        <f>SUM(I4*1.5)</f>
        <v/>
      </c>
      <c r="L4" s="101">
        <f>SUM(K4*4)</f>
        <v/>
      </c>
      <c r="M4" s="102">
        <f>SUM(I4*2)</f>
        <v/>
      </c>
      <c r="N4" s="103">
        <f>SUM(M4*4)</f>
        <v/>
      </c>
    </row>
    <row r="5" ht="15.75" customHeight="1" thickBot="1">
      <c r="A5" s="35" t="n">
        <v>70</v>
      </c>
      <c r="B5" s="49">
        <f>IF(OR(ISNUMBER(SEARCH("Tequila", C5)), ISNUMBER(SEARCH("Tequila", D5))), "Tequila",
IF(OR(ISNUMBER(SEARCH("Rum", C5)), ISNUMBER(SEARCH("Rum", D5))), "Rum",
IF(OR(ISNUMBER(SEARCH("Whiskey", C5)), ISNUMBER(SEARCH("Whiskey", D5))), "Whiskey",
IF(OR(ISNUMBER(SEARCH("Gin", C5)), ISNUMBER(SEARCH("Gin", D5))), "Gin",
IF(OR(ISNUMBER(SEARCH("Liqueur", C5)), ISNUMBER(SEARCH("Liqueur", D5))), "Liqueur", "")))))</f>
        <v/>
      </c>
      <c r="C5" s="57" t="n"/>
      <c r="D5" s="51" t="inlineStr">
        <is>
          <t>1800 Reposado Tequila (750mL/item) - $25.81 2</t>
        </is>
      </c>
      <c r="E5" s="52" t="n">
        <v>750</v>
      </c>
      <c r="F5" s="51">
        <f>TRIM(MID(D5, FIND("$", D5), FIND(" ", D5, FIND("$", D5)) - FIND("$", D5))
)</f>
        <v/>
      </c>
      <c r="G5" s="53" t="n">
        <v>29.57</v>
      </c>
      <c r="H5" s="54">
        <f>SUM(E5/G5)</f>
        <v/>
      </c>
      <c r="I5" s="104">
        <f>SUM(F5/H5)</f>
        <v/>
      </c>
      <c r="J5" s="105">
        <f>SUM(4*I5)</f>
        <v/>
      </c>
      <c r="K5" s="100">
        <f>SUM(I5*1.5)</f>
        <v/>
      </c>
      <c r="L5" s="101">
        <f>SUM(K5*4)</f>
        <v/>
      </c>
      <c r="M5" s="102">
        <f>SUM(I5*2)</f>
        <v/>
      </c>
      <c r="N5" s="103">
        <f>SUM(M5*4)</f>
        <v/>
      </c>
    </row>
    <row r="6" ht="15.75" customHeight="1" thickBot="1">
      <c r="A6" s="35" t="n">
        <v>71</v>
      </c>
      <c r="B6" s="49">
        <f>IF(OR(ISNUMBER(SEARCH("Tequila", C6)), ISNUMBER(SEARCH("Tequila", D6))), "Tequila",
IF(OR(ISNUMBER(SEARCH("Rum", C6)), ISNUMBER(SEARCH("Rum", D6))), "Rum",
IF(OR(ISNUMBER(SEARCH("Whiskey", C6)), ISNUMBER(SEARCH("Whiskey", D6))), "Whiskey",
IF(OR(ISNUMBER(SEARCH("Gin", C6)), ISNUMBER(SEARCH("Gin", D6))), "Gin",
IF(OR(ISNUMBER(SEARCH("Liqueur", C6)), ISNUMBER(SEARCH("Liqueur", D6))), "Liqueur", "")))))</f>
        <v/>
      </c>
      <c r="C6" s="58" t="n"/>
      <c r="D6" s="51" t="inlineStr">
        <is>
          <t>1800 Silver Tequila (750mL/item) - $25.02 2</t>
        </is>
      </c>
      <c r="E6" s="52" t="n">
        <v>750</v>
      </c>
      <c r="F6" s="51">
        <f>TRIM(MID(D6, FIND("$", D6), FIND(" ", D6, FIND("$", D6)) - FIND("$", D6))
)</f>
        <v/>
      </c>
      <c r="G6" s="53" t="n">
        <v>29.57</v>
      </c>
      <c r="H6" s="54">
        <f>SUM(E6/G6)</f>
        <v/>
      </c>
      <c r="I6" s="104">
        <f>SUM(F6/H6)</f>
        <v/>
      </c>
      <c r="J6" s="105">
        <f>SUM(4*I6)</f>
        <v/>
      </c>
      <c r="K6" s="100">
        <f>SUM(I6*1.5)</f>
        <v/>
      </c>
      <c r="L6" s="101">
        <f>SUM(K6*4)</f>
        <v/>
      </c>
      <c r="M6" s="102">
        <f>SUM(I6*2)</f>
        <v/>
      </c>
      <c r="N6" s="103">
        <f>SUM(M6*4)</f>
        <v/>
      </c>
    </row>
    <row r="7" ht="15.75" customHeight="1" thickBot="1">
      <c r="A7" s="35" t="n">
        <v>243</v>
      </c>
      <c r="B7" s="49">
        <f>IF(OR(ISNUMBER(SEARCH("Tequila", C7)), ISNUMBER(SEARCH("Tequila", D7))), "Tequila",
IF(OR(ISNUMBER(SEARCH("Rum", C7)), ISNUMBER(SEARCH("Rum", D7))), "Rum",
IF(OR(ISNUMBER(SEARCH("Whiskey", C7)), ISNUMBER(SEARCH("Whiskey", D7))), "Whiskey",
IF(OR(ISNUMBER(SEARCH("Gin", C7)), ISNUMBER(SEARCH("Gin", D7))), "Gin",
IF(OR(ISNUMBER(SEARCH("Liqueur", C7)), ISNUMBER(SEARCH("Liqueur", D7))), "Liqueur", "")))))</f>
        <v/>
      </c>
      <c r="C7" s="52" t="n"/>
      <c r="D7" s="51" t="n"/>
      <c r="E7" s="52" t="n"/>
      <c r="F7" s="51" t="n"/>
      <c r="G7" s="53" t="n"/>
      <c r="H7" s="54" t="n"/>
      <c r="I7" s="104" t="n"/>
      <c r="J7" s="105" t="n"/>
      <c r="K7" s="100" t="n"/>
      <c r="L7" s="101" t="n"/>
      <c r="M7" s="102" t="n"/>
      <c r="N7" s="103" t="n"/>
    </row>
    <row r="8" ht="15.75" customHeight="1">
      <c r="A8" s="35" t="n">
        <v>42</v>
      </c>
      <c r="B8" s="49">
        <f>IF(OR(ISNUMBER(SEARCH("Tequila", C8)), ISNUMBER(SEARCH("Tequila", D8))), "Tequila",
IF(OR(ISNUMBER(SEARCH("Rum", C8)), ISNUMBER(SEARCH("Rum", D8))), "Rum",
IF(OR(ISNUMBER(SEARCH("Whiskey", C8)), ISNUMBER(SEARCH("Whiskey", D8))), "Whiskey",
IF(OR(ISNUMBER(SEARCH("Gin", C8)), ISNUMBER(SEARCH("Gin", D8))), "Gin",
IF(OR(ISNUMBER(SEARCH("Liqueur", C8)), ISNUMBER(SEARCH("Liqueur", D8))), "Liqueur", "")))))</f>
        <v/>
      </c>
      <c r="C8" s="52" t="n"/>
      <c r="D8" s="51" t="inlineStr">
        <is>
          <t>Adictivo Anejo Tequila (750mL/item) - $57.19 1</t>
        </is>
      </c>
      <c r="E8" s="52" t="n">
        <v>750</v>
      </c>
      <c r="F8" s="51">
        <f>TRIM(MID(D8, FIND("$", D8), FIND(" ", D8, FIND("$", D8)) - FIND("$", D8))
)</f>
        <v/>
      </c>
      <c r="G8" s="53" t="n">
        <v>29.57</v>
      </c>
      <c r="H8" s="54">
        <f>SUM(E8/G8)</f>
        <v/>
      </c>
      <c r="I8" s="104">
        <f>SUM(F8/H8)</f>
        <v/>
      </c>
      <c r="J8" s="105">
        <f>SUM(4*I8)</f>
        <v/>
      </c>
      <c r="K8" s="100">
        <f>SUM(I8*1.5)</f>
        <v/>
      </c>
      <c r="L8" s="101">
        <f>SUM(K8*4)</f>
        <v/>
      </c>
      <c r="M8" s="102">
        <f>SUM(I8*2)</f>
        <v/>
      </c>
      <c r="N8" s="103">
        <f>SUM(M8*4)</f>
        <v/>
      </c>
    </row>
    <row r="9" ht="15.75" customHeight="1">
      <c r="A9" s="35" t="n">
        <v>44</v>
      </c>
      <c r="B9" s="49">
        <f>IF(OR(ISNUMBER(SEARCH("Tequila", C9)), ISNUMBER(SEARCH("Tequila", D9))), "Tequila",
IF(OR(ISNUMBER(SEARCH("Rum", C9)), ISNUMBER(SEARCH("Rum", D9))), "Rum",
IF(OR(ISNUMBER(SEARCH("Whiskey", C9)), ISNUMBER(SEARCH("Whiskey", D9))), "Whiskey",
IF(OR(ISNUMBER(SEARCH("Gin", C9)), ISNUMBER(SEARCH("Gin", D9))), "Gin",
IF(OR(ISNUMBER(SEARCH("Liqueur", C9)), ISNUMBER(SEARCH("Liqueur", D9))), "Liqueur", "")))))</f>
        <v/>
      </c>
      <c r="C9" s="58" t="n"/>
      <c r="D9" s="51" t="inlineStr">
        <is>
          <t>Adictivo Blanco Tequila (750mL/item) - $44.12 1</t>
        </is>
      </c>
      <c r="E9" s="52" t="n">
        <v>750</v>
      </c>
      <c r="F9" s="51">
        <f>TRIM(MID(D9, FIND("$", D9), FIND(" ", D9, FIND("$", D9)) - FIND("$", D9))
)</f>
        <v/>
      </c>
      <c r="G9" s="53" t="n">
        <v>29.57</v>
      </c>
      <c r="H9" s="54">
        <f>SUM(E9/G9)</f>
        <v/>
      </c>
      <c r="I9" s="104">
        <f>SUM(F9/H9)</f>
        <v/>
      </c>
      <c r="J9" s="105">
        <f>SUM(4*I9)</f>
        <v/>
      </c>
      <c r="K9" s="100">
        <f>SUM(I9*1.5)</f>
        <v/>
      </c>
      <c r="L9" s="101">
        <f>SUM(K9*4)</f>
        <v/>
      </c>
      <c r="M9" s="102">
        <f>SUM(I9*2)</f>
        <v/>
      </c>
      <c r="N9" s="103">
        <f>SUM(M9*4)</f>
        <v/>
      </c>
    </row>
    <row r="10" ht="15.75" customHeight="1">
      <c r="A10" s="35" t="n">
        <v>41</v>
      </c>
      <c r="B10" s="49">
        <f>IF(OR(ISNUMBER(SEARCH("Tequila", C10)), ISNUMBER(SEARCH("Tequila", D10))), "Tequila",
IF(OR(ISNUMBER(SEARCH("Rum", C10)), ISNUMBER(SEARCH("Rum", D10))), "Rum",
IF(OR(ISNUMBER(SEARCH("Whiskey", C10)), ISNUMBER(SEARCH("Whiskey", D10))), "Whiskey",
IF(OR(ISNUMBER(SEARCH("Gin", C10)), ISNUMBER(SEARCH("Gin", D10))), "Gin",
IF(OR(ISNUMBER(SEARCH("Liqueur", C10)), ISNUMBER(SEARCH("Liqueur", D10))), "Liqueur", "")))))</f>
        <v/>
      </c>
      <c r="C10" s="50" t="n"/>
      <c r="D10" s="51" t="inlineStr">
        <is>
          <t>Adictivo Extra Anejo Tequila (750mL/item) - $84.98 2</t>
        </is>
      </c>
      <c r="E10" s="52" t="n">
        <v>750</v>
      </c>
      <c r="F10" s="51">
        <f>TRIM(MID(D10, FIND("$", D10), FIND(" ", D10, FIND("$", D10)) - FIND("$", D10))
)</f>
        <v/>
      </c>
      <c r="G10" s="53" t="n">
        <v>29.57</v>
      </c>
      <c r="H10" s="54">
        <f>SUM(E10/G10)</f>
        <v/>
      </c>
      <c r="I10" s="104">
        <f>SUM(F10/H10)</f>
        <v/>
      </c>
      <c r="J10" s="105">
        <f>SUM(4*I10)</f>
        <v/>
      </c>
      <c r="K10" s="100">
        <f>SUM(I10*1.5)</f>
        <v/>
      </c>
      <c r="L10" s="101">
        <f>SUM(K10*4)</f>
        <v/>
      </c>
      <c r="M10" s="102">
        <f>SUM(I10*2)</f>
        <v/>
      </c>
      <c r="N10" s="103">
        <f>SUM(M10*4)</f>
        <v/>
      </c>
    </row>
    <row r="11" ht="15.75" customHeight="1">
      <c r="A11" s="35" t="n">
        <v>43</v>
      </c>
      <c r="B11" s="49">
        <f>IF(OR(ISNUMBER(SEARCH("Tequila", C11)), ISNUMBER(SEARCH("Tequila", D11))), "Tequila",
IF(OR(ISNUMBER(SEARCH("Rum", C11)), ISNUMBER(SEARCH("Rum", D11))), "Rum",
IF(OR(ISNUMBER(SEARCH("Whiskey", C11)), ISNUMBER(SEARCH("Whiskey", D11))), "Whiskey",
IF(OR(ISNUMBER(SEARCH("Gin", C11)), ISNUMBER(SEARCH("Gin", D11))), "Gin",
IF(OR(ISNUMBER(SEARCH("Liqueur", C11)), ISNUMBER(SEARCH("Liqueur", D11))), "Liqueur", "")))))</f>
        <v/>
      </c>
      <c r="C11" s="57" t="n"/>
      <c r="D11" s="51" t="inlineStr">
        <is>
          <t>Adictivo Reposado Tequila (750mL/item) - $48.21 1</t>
        </is>
      </c>
      <c r="E11" s="52" t="n">
        <v>750</v>
      </c>
      <c r="F11" s="51">
        <f>TRIM(MID(D11, FIND("$", D11), FIND(" ", D11, FIND("$", D11)) - FIND("$", D11))
)</f>
        <v/>
      </c>
      <c r="G11" s="53" t="n">
        <v>29.57</v>
      </c>
      <c r="H11" s="54">
        <f>SUM(E11/G11)</f>
        <v/>
      </c>
      <c r="I11" s="104">
        <f>SUM(F11/H11)</f>
        <v/>
      </c>
      <c r="J11" s="105">
        <f>SUM(4*I11)</f>
        <v/>
      </c>
      <c r="K11" s="100">
        <f>SUM(I11*1.5)</f>
        <v/>
      </c>
      <c r="L11" s="101">
        <f>SUM(K11*4)</f>
        <v/>
      </c>
      <c r="M11" s="102">
        <f>SUM(I11*2)</f>
        <v/>
      </c>
      <c r="N11" s="103">
        <f>SUM(M11*4)</f>
        <v/>
      </c>
    </row>
    <row r="12" ht="15.75" customHeight="1">
      <c r="A12" s="35" t="n">
        <v>13</v>
      </c>
      <c r="B12" s="49">
        <f>IF(OR(ISNUMBER(SEARCH("Tequila", C12)), ISNUMBER(SEARCH("Tequila", D12))), "Tequila",
IF(OR(ISNUMBER(SEARCH("Rum", C12)), ISNUMBER(SEARCH("Rum", D12))), "Rum",
IF(OR(ISNUMBER(SEARCH("Whiskey", C12)), ISNUMBER(SEARCH("Whiskey", D12))), "Whiskey",
IF(OR(ISNUMBER(SEARCH("Gin", C12)), ISNUMBER(SEARCH("Gin", D12))), "Gin",
IF(OR(ISNUMBER(SEARCH("Liqueur", C12)), ISNUMBER(SEARCH("Liqueur", D12))), "Liqueur", "")))))</f>
        <v/>
      </c>
      <c r="C12" s="52" t="n"/>
      <c r="D12" s="51" t="inlineStr">
        <is>
          <t>Agavero Liqueur (750mL /item) $25.50 2</t>
        </is>
      </c>
      <c r="E12" s="52" t="n">
        <v>750</v>
      </c>
      <c r="F12" s="51">
        <f>TRIM(MID(D12, FIND("$", D12), FIND(" ", D12, FIND("$", D12)) - FIND("$", D12))
)</f>
        <v/>
      </c>
      <c r="G12" s="53" t="n">
        <v>29.57</v>
      </c>
      <c r="H12" s="54">
        <f>SUM(E12/G12)</f>
        <v/>
      </c>
      <c r="I12" s="104">
        <f>SUM(F12/H12)</f>
        <v/>
      </c>
      <c r="J12" s="105">
        <f>SUM(4*I12)</f>
        <v/>
      </c>
      <c r="K12" s="100">
        <f>SUM(I12*1.5)</f>
        <v/>
      </c>
      <c r="L12" s="101">
        <f>SUM(K12*4)</f>
        <v/>
      </c>
      <c r="M12" s="102">
        <f>SUM(I12*2)</f>
        <v/>
      </c>
      <c r="N12" s="103">
        <f>SUM(M12*4)</f>
        <v/>
      </c>
    </row>
    <row r="13" ht="15.75" customHeight="1">
      <c r="A13" s="35" t="n">
        <v>244</v>
      </c>
      <c r="B13" s="49">
        <f>IF(OR(ISNUMBER(SEARCH("Tequila", C13)), ISNUMBER(SEARCH("Tequila", D13))), "Tequila",
IF(OR(ISNUMBER(SEARCH("Rum", C13)), ISNUMBER(SEARCH("Rum", D13))), "Rum",
IF(OR(ISNUMBER(SEARCH("Whiskey", C13)), ISNUMBER(SEARCH("Whiskey", D13))), "Whiskey",
IF(OR(ISNUMBER(SEARCH("Gin", C13)), ISNUMBER(SEARCH("Gin", D13))), "Gin",
IF(OR(ISNUMBER(SEARCH("Liqueur", C13)), ISNUMBER(SEARCH("Liqueur", D13))), "Liqueur", "")))))</f>
        <v/>
      </c>
      <c r="C13" s="52" t="n"/>
      <c r="D13" s="51" t="n"/>
      <c r="E13" s="52" t="n"/>
      <c r="F13" s="51" t="n"/>
      <c r="G13" s="53" t="n"/>
      <c r="H13" s="54" t="n"/>
      <c r="I13" s="104" t="n"/>
      <c r="J13" s="105" t="n"/>
      <c r="K13" s="100" t="n"/>
      <c r="L13" s="101" t="n"/>
      <c r="M13" s="102" t="n"/>
      <c r="N13" s="103" t="n"/>
    </row>
    <row r="14" ht="15.75" customHeight="1">
      <c r="A14" s="35" t="n">
        <v>60</v>
      </c>
      <c r="B14" s="49">
        <f>IF(OR(ISNUMBER(SEARCH("Tequila", C14)), ISNUMBER(SEARCH("Tequila", D14))), "Tequila",
IF(OR(ISNUMBER(SEARCH("Rum", C14)), ISNUMBER(SEARCH("Rum", D14))), "Rum",
IF(OR(ISNUMBER(SEARCH("Whiskey", C14)), ISNUMBER(SEARCH("Whiskey", D14))), "Whiskey",
IF(OR(ISNUMBER(SEARCH("Gin", C14)), ISNUMBER(SEARCH("Gin", D14))), "Gin",
IF(OR(ISNUMBER(SEARCH("Liqueur", C14)), ISNUMBER(SEARCH("Liqueur", D14))), "Liqueur", "")))))</f>
        <v/>
      </c>
      <c r="C14" s="57" t="n"/>
      <c r="D14" s="51" t="inlineStr">
        <is>
          <t>Alma del Jaguar Reposado Tequila (750mL/item) - $54.34 1</t>
        </is>
      </c>
      <c r="E14" s="52" t="n">
        <v>750</v>
      </c>
      <c r="F14" s="51">
        <f>TRIM(MID(D14, FIND("$", D14), FIND(" ", D14, FIND("$", D14)) - FIND("$", D14))
)</f>
        <v/>
      </c>
      <c r="G14" s="53" t="n">
        <v>29.57</v>
      </c>
      <c r="H14" s="54">
        <f>SUM(E14/G14)</f>
        <v/>
      </c>
      <c r="I14" s="104">
        <f>SUM(F14/H14)</f>
        <v/>
      </c>
      <c r="J14" s="105">
        <f>SUM(4*I14)</f>
        <v/>
      </c>
      <c r="K14" s="100">
        <f>SUM(I14*1.5)</f>
        <v/>
      </c>
      <c r="L14" s="101">
        <f>SUM(K14*4)</f>
        <v/>
      </c>
      <c r="M14" s="102">
        <f>SUM(I14*2)</f>
        <v/>
      </c>
      <c r="N14" s="103">
        <f>SUM(M14*4)</f>
        <v/>
      </c>
    </row>
    <row r="15" ht="15.75" customHeight="1">
      <c r="A15" s="35" t="n">
        <v>61</v>
      </c>
      <c r="B15" s="49">
        <f>IF(OR(ISNUMBER(SEARCH("Tequila", C15)), ISNUMBER(SEARCH("Tequila", D15))), "Tequila",
IF(OR(ISNUMBER(SEARCH("Rum", C15)), ISNUMBER(SEARCH("Rum", D15))), "Rum",
IF(OR(ISNUMBER(SEARCH("Whiskey", C15)), ISNUMBER(SEARCH("Whiskey", D15))), "Whiskey",
IF(OR(ISNUMBER(SEARCH("Gin", C15)), ISNUMBER(SEARCH("Gin", D15))), "Gin",
IF(OR(ISNUMBER(SEARCH("Liqueur", C15)), ISNUMBER(SEARCH("Liqueur", D15))), "Liqueur", "")))))</f>
        <v/>
      </c>
      <c r="C15" s="58" t="n"/>
      <c r="D15" s="51" t="inlineStr">
        <is>
          <t>Alma del Jaquar Blanco Tequila (750mL/item) - $44.10 1</t>
        </is>
      </c>
      <c r="E15" s="52" t="n">
        <v>750</v>
      </c>
      <c r="F15" s="51">
        <f>TRIM(MID(D15, FIND("$", D15), FIND(" ", D15, FIND("$", D15)) - FIND("$", D15))
)</f>
        <v/>
      </c>
      <c r="G15" s="53" t="n">
        <v>29.57</v>
      </c>
      <c r="H15" s="54">
        <f>SUM(E15/G15)</f>
        <v/>
      </c>
      <c r="I15" s="104">
        <f>SUM(F15/H15)</f>
        <v/>
      </c>
      <c r="J15" s="105">
        <f>SUM(4*I15)</f>
        <v/>
      </c>
      <c r="K15" s="100">
        <f>SUM(I15*1.5)</f>
        <v/>
      </c>
      <c r="L15" s="101">
        <f>SUM(K15*4)</f>
        <v/>
      </c>
      <c r="M15" s="102">
        <f>SUM(I15*2)</f>
        <v/>
      </c>
      <c r="N15" s="103">
        <f>SUM(M15*4)</f>
        <v/>
      </c>
    </row>
    <row r="16" ht="15.75" customHeight="1">
      <c r="A16" s="35" t="n">
        <v>245</v>
      </c>
      <c r="B16" s="49">
        <f>IF(OR(ISNUMBER(SEARCH("Tequila", C16)), ISNUMBER(SEARCH("Tequila", D16))), "Tequila",
IF(OR(ISNUMBER(SEARCH("Rum", C16)), ISNUMBER(SEARCH("Rum", D16))), "Rum",
IF(OR(ISNUMBER(SEARCH("Whiskey", C16)), ISNUMBER(SEARCH("Whiskey", D16))), "Whiskey",
IF(OR(ISNUMBER(SEARCH("Gin", C16)), ISNUMBER(SEARCH("Gin", D16))), "Gin",
IF(OR(ISNUMBER(SEARCH("Liqueur", C16)), ISNUMBER(SEARCH("Liqueur", D16))), "Liqueur", "")))))</f>
        <v/>
      </c>
      <c r="C16" s="52" t="n"/>
      <c r="D16" s="51" t="n"/>
      <c r="E16" s="52" t="n"/>
      <c r="F16" s="51" t="n"/>
      <c r="G16" s="53" t="n"/>
      <c r="H16" s="54" t="n"/>
      <c r="I16" s="104" t="n"/>
      <c r="J16" s="105" t="n"/>
      <c r="K16" s="100" t="n"/>
      <c r="L16" s="101" t="n"/>
      <c r="M16" s="102" t="n"/>
      <c r="N16" s="103" t="n"/>
    </row>
    <row r="17" ht="15.75" customHeight="1">
      <c r="A17" s="35" t="n">
        <v>196</v>
      </c>
      <c r="B17" s="49">
        <f>IF(OR(ISNUMBER(SEARCH("Tequila", C17)), ISNUMBER(SEARCH("Tequila", D17))), "Tequila",
IF(OR(ISNUMBER(SEARCH("Rum", C17)), ISNUMBER(SEARCH("Rum", D17))), "Rum",
IF(OR(ISNUMBER(SEARCH("Whiskey", C17)), ISNUMBER(SEARCH("Whiskey", D17))), "Whiskey",
IF(OR(ISNUMBER(SEARCH("Gin", C17)), ISNUMBER(SEARCH("Gin", D17))), "Gin",
IF(OR(ISNUMBER(SEARCH("Liqueur", C17)), ISNUMBER(SEARCH("Liqueur", D17))), "Liqueur", "")))))</f>
        <v/>
      </c>
      <c r="C17" s="52" t="n"/>
      <c r="D17" s="51" t="inlineStr">
        <is>
          <t>Amatitena Anejo Tequila (750mL/item) - $80.85 1</t>
        </is>
      </c>
      <c r="E17" s="52" t="n">
        <v>750</v>
      </c>
      <c r="F17" s="51">
        <f>TRIM(MID(D17, FIND("$", D17), FIND(" ", D17, FIND("$", D17)) - FIND("$", D17))
)</f>
        <v/>
      </c>
      <c r="G17" s="53" t="n">
        <v>29.57</v>
      </c>
      <c r="H17" s="54">
        <f>SUM(E17/G17)</f>
        <v/>
      </c>
      <c r="I17" s="104">
        <f>SUM(F17/H17)</f>
        <v/>
      </c>
      <c r="J17" s="105">
        <f>SUM(4*I17)</f>
        <v/>
      </c>
      <c r="K17" s="100">
        <f>SUM(I17*1.5)</f>
        <v/>
      </c>
      <c r="L17" s="101">
        <f>SUM(K17*4)</f>
        <v/>
      </c>
      <c r="M17" s="102">
        <f>SUM(I17*2)</f>
        <v/>
      </c>
      <c r="N17" s="103">
        <f>SUM(M17*4)</f>
        <v/>
      </c>
    </row>
    <row r="18" ht="15.75" customHeight="1">
      <c r="A18" s="35" t="n">
        <v>193</v>
      </c>
      <c r="B18" s="49">
        <f>IF(OR(ISNUMBER(SEARCH("Tequila", C18)), ISNUMBER(SEARCH("Tequila", D18))), "Tequila",
IF(OR(ISNUMBER(SEARCH("Rum", C18)), ISNUMBER(SEARCH("Rum", D18))), "Rum",
IF(OR(ISNUMBER(SEARCH("Whiskey", C18)), ISNUMBER(SEARCH("Whiskey", D18))), "Whiskey",
IF(OR(ISNUMBER(SEARCH("Gin", C18)), ISNUMBER(SEARCH("Gin", D18))), "Gin",
IF(OR(ISNUMBER(SEARCH("Liqueur", C18)), ISNUMBER(SEARCH("Liqueur", D18))), "Liqueur", "")))))</f>
        <v/>
      </c>
      <c r="C18" s="58" t="n"/>
      <c r="D18" s="51" t="inlineStr">
        <is>
          <t>Amatitena Blanco Tequila (750ML/item) - $8.80 1</t>
        </is>
      </c>
      <c r="E18" s="52" t="n">
        <v>750</v>
      </c>
      <c r="F18" s="51">
        <f>TRIM(MID(D18, FIND("$", D18), FIND(" ", D18, FIND("$", D18)) - FIND("$", D18))
)</f>
        <v/>
      </c>
      <c r="G18" s="53" t="n">
        <v>29.57</v>
      </c>
      <c r="H18" s="54">
        <f>SUM(E18/G18)</f>
        <v/>
      </c>
      <c r="I18" s="104">
        <f>SUM(F18/H18)</f>
        <v/>
      </c>
      <c r="J18" s="105">
        <f>SUM(4*I18)</f>
        <v/>
      </c>
      <c r="K18" s="100">
        <f>SUM(I18*1.5)</f>
        <v/>
      </c>
      <c r="L18" s="101">
        <f>SUM(K18*4)</f>
        <v/>
      </c>
      <c r="M18" s="102">
        <f>SUM(I18*2)</f>
        <v/>
      </c>
      <c r="N18" s="103">
        <f>SUM(M18*4)</f>
        <v/>
      </c>
    </row>
    <row r="19" ht="15.75" customHeight="1">
      <c r="A19" s="35" t="n">
        <v>194</v>
      </c>
      <c r="B19" s="49">
        <f>IF(OR(ISNUMBER(SEARCH("Tequila", C19)), ISNUMBER(SEARCH("Tequila", D19))), "Tequila",
IF(OR(ISNUMBER(SEARCH("Rum", C19)), ISNUMBER(SEARCH("Rum", D19))), "Rum",
IF(OR(ISNUMBER(SEARCH("Whiskey", C19)), ISNUMBER(SEARCH("Whiskey", D19))), "Whiskey",
IF(OR(ISNUMBER(SEARCH("Gin", C19)), ISNUMBER(SEARCH("Gin", D19))), "Gin",
IF(OR(ISNUMBER(SEARCH("Liqueur", C19)), ISNUMBER(SEARCH("Liqueur", D19))), "Liqueur", "")))))</f>
        <v/>
      </c>
      <c r="C19" s="58" t="n"/>
      <c r="D19" s="51" t="inlineStr">
        <is>
          <t>Amatitena Origen HP Blanco Tequila (750mL/item) - $69.30 1</t>
        </is>
      </c>
      <c r="E19" s="52" t="n">
        <v>750</v>
      </c>
      <c r="F19" s="51">
        <f>TRIM(MID(D19, FIND("$", D19), FIND(" ", D19, FIND("$", D19)) - FIND("$", D19))
)</f>
        <v/>
      </c>
      <c r="G19" s="53" t="n">
        <v>29.57</v>
      </c>
      <c r="H19" s="54">
        <f>SUM(E19/G19)</f>
        <v/>
      </c>
      <c r="I19" s="104">
        <f>SUM(F19/H19)</f>
        <v/>
      </c>
      <c r="J19" s="105">
        <f>SUM(4*I19)</f>
        <v/>
      </c>
      <c r="K19" s="100">
        <f>SUM(I19*1.5)</f>
        <v/>
      </c>
      <c r="L19" s="101">
        <f>SUM(K19*4)</f>
        <v/>
      </c>
      <c r="M19" s="102">
        <f>SUM(I19*2)</f>
        <v/>
      </c>
      <c r="N19" s="103">
        <f>SUM(M19*4)</f>
        <v/>
      </c>
    </row>
    <row r="20" ht="15.75" customHeight="1">
      <c r="A20" s="35" t="n">
        <v>195</v>
      </c>
      <c r="B20" s="49">
        <f>IF(OR(ISNUMBER(SEARCH("Tequila", C20)), ISNUMBER(SEARCH("Tequila", D20))), "Tequila",
IF(OR(ISNUMBER(SEARCH("Rum", C20)), ISNUMBER(SEARCH("Rum", D20))), "Rum",
IF(OR(ISNUMBER(SEARCH("Whiskey", C20)), ISNUMBER(SEARCH("Whiskey", D20))), "Whiskey",
IF(OR(ISNUMBER(SEARCH("Gin", C20)), ISNUMBER(SEARCH("Gin", D20))), "Gin",
IF(OR(ISNUMBER(SEARCH("Liqueur", C20)), ISNUMBER(SEARCH("Liqueur", D20))), "Liqueur", "")))))</f>
        <v/>
      </c>
      <c r="C20" s="57" t="n"/>
      <c r="D20" s="51" t="inlineStr">
        <is>
          <t>Amatitena Reposado Tequila (750mL/item) - $67.20 1</t>
        </is>
      </c>
      <c r="E20" s="52" t="n">
        <v>750</v>
      </c>
      <c r="F20" s="51">
        <f>TRIM(MID(D20, FIND("$", D20), FIND(" ", D20, FIND("$", D20)) - FIND("$", D20))
)</f>
        <v/>
      </c>
      <c r="G20" s="53" t="n">
        <v>29.57</v>
      </c>
      <c r="H20" s="54">
        <f>SUM(E20/G20)</f>
        <v/>
      </c>
      <c r="I20" s="104">
        <f>SUM(F20/H20)</f>
        <v/>
      </c>
      <c r="J20" s="105">
        <f>SUM(4*I20)</f>
        <v/>
      </c>
      <c r="K20" s="100">
        <f>SUM(I20*1.5)</f>
        <v/>
      </c>
      <c r="L20" s="101">
        <f>SUM(K20*4)</f>
        <v/>
      </c>
      <c r="M20" s="102">
        <f>SUM(I20*2)</f>
        <v/>
      </c>
      <c r="N20" s="103">
        <f>SUM(M20*4)</f>
        <v/>
      </c>
    </row>
    <row r="21" ht="15.75" customHeight="1">
      <c r="A21" s="35" t="n">
        <v>56</v>
      </c>
      <c r="B21" s="49">
        <f>IF(OR(ISNUMBER(SEARCH("Tequila", C21)), ISNUMBER(SEARCH("Tequila", D21))), "Tequila",
IF(OR(ISNUMBER(SEARCH("Rum", C21)), ISNUMBER(SEARCH("Rum", D21))), "Rum",
IF(OR(ISNUMBER(SEARCH("Whiskey", C21)), ISNUMBER(SEARCH("Whiskey", D21))), "Whiskey",
IF(OR(ISNUMBER(SEARCH("Gin", C21)), ISNUMBER(SEARCH("Gin", D21))), "Gin",
IF(OR(ISNUMBER(SEARCH("Liqueur", C21)), ISNUMBER(SEARCH("Liqueur", D21))), "Liqueur", "")))))</f>
        <v/>
      </c>
      <c r="C21" s="58" t="n"/>
      <c r="D21" s="51" t="inlineStr">
        <is>
          <t>Arette Artesanal Blanco Tequila (750mL/item) - $48.04 1</t>
        </is>
      </c>
      <c r="E21" s="52" t="n">
        <v>750</v>
      </c>
      <c r="F21" s="51">
        <f>TRIM(MID(D21, FIND("$", D21), FIND(" ", D21, FIND("$", D21)) - FIND("$", D21))
)</f>
        <v/>
      </c>
      <c r="G21" s="53" t="n">
        <v>29.57</v>
      </c>
      <c r="H21" s="54">
        <f>SUM(E21/G21)</f>
        <v/>
      </c>
      <c r="I21" s="104">
        <f>SUM(F21/H21)</f>
        <v/>
      </c>
      <c r="J21" s="105">
        <f>SUM(4*I21)</f>
        <v/>
      </c>
      <c r="K21" s="100">
        <f>SUM(I21*1.5)</f>
        <v/>
      </c>
      <c r="L21" s="101">
        <f>SUM(K21*4)</f>
        <v/>
      </c>
      <c r="M21" s="102">
        <f>SUM(I21*2)</f>
        <v/>
      </c>
      <c r="N21" s="103">
        <f>SUM(M21*4)</f>
        <v/>
      </c>
    </row>
    <row r="22" ht="15.75" customHeight="1">
      <c r="A22" s="35" t="n">
        <v>55</v>
      </c>
      <c r="B22" s="49">
        <f>IF(OR(ISNUMBER(SEARCH("Tequila", C22)), ISNUMBER(SEARCH("Tequila", D22))), "Tequila",
IF(OR(ISNUMBER(SEARCH("Rum", C22)), ISNUMBER(SEARCH("Rum", D22))), "Rum",
IF(OR(ISNUMBER(SEARCH("Whiskey", C22)), ISNUMBER(SEARCH("Whiskey", D22))), "Whiskey",
IF(OR(ISNUMBER(SEARCH("Gin", C22)), ISNUMBER(SEARCH("Gin", D22))), "Gin",
IF(OR(ISNUMBER(SEARCH("Liqueur", C22)), ISNUMBER(SEARCH("Liqueur", D22))), "Liqueur", "")))))</f>
        <v/>
      </c>
      <c r="C22" s="52" t="n"/>
      <c r="D22" s="51" t="inlineStr">
        <is>
          <t>Arette Artisanal Anejo Tequila (750mL/item) - $74.81 1</t>
        </is>
      </c>
      <c r="E22" s="52" t="n">
        <v>750</v>
      </c>
      <c r="F22" s="51">
        <f>TRIM(MID(D22, FIND("$", D22), FIND(" ", D22, FIND("$", D22)) - FIND("$", D22))
)</f>
        <v/>
      </c>
      <c r="G22" s="53" t="n">
        <v>29.57</v>
      </c>
      <c r="H22" s="54">
        <f>SUM(E22/G22)</f>
        <v/>
      </c>
      <c r="I22" s="104">
        <f>SUM(F22/H22)</f>
        <v/>
      </c>
      <c r="J22" s="105">
        <f>SUM(4*I22)</f>
        <v/>
      </c>
      <c r="K22" s="100">
        <f>SUM(I22*1.5)</f>
        <v/>
      </c>
      <c r="L22" s="101">
        <f>SUM(K22*4)</f>
        <v/>
      </c>
      <c r="M22" s="102">
        <f>SUM(I22*2)</f>
        <v/>
      </c>
      <c r="N22" s="103">
        <f>SUM(M22*4)</f>
        <v/>
      </c>
    </row>
    <row r="23" ht="15.75" customHeight="1">
      <c r="A23" s="35" t="n">
        <v>54</v>
      </c>
      <c r="B23" s="49">
        <f>IF(OR(ISNUMBER(SEARCH("Tequila", C23)), ISNUMBER(SEARCH("Tequila", D23))), "Tequila",
IF(OR(ISNUMBER(SEARCH("Rum", C23)), ISNUMBER(SEARCH("Rum", D23))), "Rum",
IF(OR(ISNUMBER(SEARCH("Whiskey", C23)), ISNUMBER(SEARCH("Whiskey", D23))), "Whiskey",
IF(OR(ISNUMBER(SEARCH("Gin", C23)), ISNUMBER(SEARCH("Gin", D23))), "Gin",
IF(OR(ISNUMBER(SEARCH("Liqueur", C23)), ISNUMBER(SEARCH("Liqueur", D23))), "Liqueur", "")))))</f>
        <v/>
      </c>
      <c r="C23" s="50" t="n"/>
      <c r="D23" s="51" t="inlineStr">
        <is>
          <t>Arette Gran Clase Extra Anejo Tequila (750mL/item) - $131.25 2</t>
        </is>
      </c>
      <c r="E23" s="52" t="n">
        <v>750</v>
      </c>
      <c r="F23" s="51">
        <f>TRIM(MID(D23, FIND("$", D23), FIND(" ", D23, FIND("$", D23)) - FIND("$", D23))
)</f>
        <v/>
      </c>
      <c r="G23" s="53" t="n">
        <v>29.57</v>
      </c>
      <c r="H23" s="54">
        <f>SUM(E23/G23)</f>
        <v/>
      </c>
      <c r="I23" s="104">
        <f>SUM(F23/H23)</f>
        <v/>
      </c>
      <c r="J23" s="105">
        <f>SUM(4*I23)</f>
        <v/>
      </c>
      <c r="K23" s="100">
        <f>SUM(I23*1.5)</f>
        <v/>
      </c>
      <c r="L23" s="101">
        <f>SUM(K23*4)</f>
        <v/>
      </c>
      <c r="M23" s="102">
        <f>SUM(I23*2)</f>
        <v/>
      </c>
      <c r="N23" s="103">
        <f>SUM(M23*4)</f>
        <v/>
      </c>
    </row>
    <row r="24" ht="15.75" customHeight="1">
      <c r="A24" s="35" t="n">
        <v>72</v>
      </c>
      <c r="B24" s="49">
        <f>IF(OR(ISNUMBER(SEARCH("Tequila", C24)), ISNUMBER(SEARCH("Tequila", D24))), "Tequila",
IF(OR(ISNUMBER(SEARCH("Rum", C24)), ISNUMBER(SEARCH("Rum", D24))), "Rum",
IF(OR(ISNUMBER(SEARCH("Whiskey", C24)), ISNUMBER(SEARCH("Whiskey", D24))), "Whiskey",
IF(OR(ISNUMBER(SEARCH("Gin", C24)), ISNUMBER(SEARCH("Gin", D24))), "Gin",
IF(OR(ISNUMBER(SEARCH("Liqueur", C24)), ISNUMBER(SEARCH("Liqueur", D24))), "Liqueur", "")))))</f>
        <v/>
      </c>
      <c r="C24" s="52">
        <f>IF(OR(ISNUMBER( SEARCH("plata",#REF!)), ISNUMBER( SEARCH("blanco",#REF!)), ISNUMBER( SEARCH("silver",#REF!))), "Silver",
 IF(ISNUMBER( SEARCH("gold",#REF!)), "Gold",
 IF(ISNUMBER( SEARCH("reposado",#REF!)), "Reposado",
 IF(AND(ISNUMBER( SEARCH("anejo",#REF!)), NOT(ISNUMBER( SEARCH("extra anejo",#REF!)))), "Anejo",
 IF(ISNUMBER( SEARCH("extra anejo",#REF!)), "Extra Anejo", "")))))</f>
        <v/>
      </c>
      <c r="D24" s="51" t="inlineStr">
        <is>
          <t>ArteNOM 1146 Anejo Tequila (750mL/item) - $74.73 2</t>
        </is>
      </c>
      <c r="E24" s="52" t="n">
        <v>750</v>
      </c>
      <c r="F24" s="51">
        <f>TRIM(MID(D24, FIND("$", D24), FIND(" ", D24, FIND("$", D24)) - FIND("$", D24))
)</f>
        <v/>
      </c>
      <c r="G24" s="53" t="n">
        <v>29.57</v>
      </c>
      <c r="H24" s="54">
        <f>SUM(E24/G24)</f>
        <v/>
      </c>
      <c r="I24" s="104">
        <f>SUM(F24/H24)</f>
        <v/>
      </c>
      <c r="J24" s="105">
        <f>SUM(4*I24)</f>
        <v/>
      </c>
      <c r="K24" s="100">
        <f>SUM(I24*1.5)</f>
        <v/>
      </c>
      <c r="L24" s="101">
        <f>SUM(K24*4)</f>
        <v/>
      </c>
      <c r="M24" s="102">
        <f>SUM(I24*2)</f>
        <v/>
      </c>
      <c r="N24" s="103">
        <f>SUM(M24*4)</f>
        <v/>
      </c>
    </row>
    <row r="25" ht="15.75" customHeight="1">
      <c r="A25" s="35" t="n">
        <v>73</v>
      </c>
      <c r="B25" s="49">
        <f>IF(OR(ISNUMBER(SEARCH("Tequila", C25)), ISNUMBER(SEARCH("Tequila", D25))), "Tequila",
IF(OR(ISNUMBER(SEARCH("Rum", C25)), ISNUMBER(SEARCH("Rum", D25))), "Rum",
IF(OR(ISNUMBER(SEARCH("Whiskey", C25)), ISNUMBER(SEARCH("Whiskey", D25))), "Whiskey",
IF(OR(ISNUMBER(SEARCH("Gin", C25)), ISNUMBER(SEARCH("Gin", D25))), "Gin",
IF(OR(ISNUMBER(SEARCH("Liqueur", C25)), ISNUMBER(SEARCH("Liqueur", D25))), "Liqueur", "")))))</f>
        <v/>
      </c>
      <c r="C25" s="57">
        <f>IF(OR(ISNUMBER( SEARCH("plata",#REF!)), ISNUMBER( SEARCH("blanco",#REF!)), ISNUMBER( SEARCH("silver",#REF!))), "Silver",
 IF(ISNUMBER( SEARCH("gold",#REF!)), "Gold",
 IF(ISNUMBER( SEARCH("reposado",#REF!)), "Reposado",
 IF(AND(ISNUMBER( SEARCH("anejo",#REF!)), NOT(ISNUMBER( SEARCH("extra anejo",#REF!)))), "Anejo",
 IF(ISNUMBER( SEARCH("extra anejo",#REF!)), "Extra Anejo", "")))))</f>
        <v/>
      </c>
      <c r="D25" s="51" t="inlineStr">
        <is>
          <t>ArteNOM 1414 Reposado Tequila (750mL/item) - $57.08 2</t>
        </is>
      </c>
      <c r="E25" s="52" t="n">
        <v>750</v>
      </c>
      <c r="F25" s="51">
        <f>TRIM(MID(D25, FIND("$", D25), FIND(" ", D25, FIND("$", D25)) - FIND("$", D25))
)</f>
        <v/>
      </c>
      <c r="G25" s="53" t="n">
        <v>29.57</v>
      </c>
      <c r="H25" s="54">
        <f>SUM(E25/G25)</f>
        <v/>
      </c>
      <c r="I25" s="104">
        <f>SUM(F25/H25)</f>
        <v/>
      </c>
      <c r="J25" s="105">
        <f>SUM(4*I25)</f>
        <v/>
      </c>
      <c r="K25" s="100">
        <f>SUM(I25*1.5)</f>
        <v/>
      </c>
      <c r="L25" s="101">
        <f>SUM(K25*4)</f>
        <v/>
      </c>
      <c r="M25" s="102">
        <f>SUM(I25*2)</f>
        <v/>
      </c>
      <c r="N25" s="103">
        <f>SUM(M25*4)</f>
        <v/>
      </c>
    </row>
    <row r="26" ht="15.75" customHeight="1">
      <c r="A26" s="35" t="n">
        <v>74</v>
      </c>
      <c r="B26" s="49">
        <f>IF(OR(ISNUMBER(SEARCH("Tequila", C26)), ISNUMBER(SEARCH("Tequila", D26))), "Tequila",
IF(OR(ISNUMBER(SEARCH("Rum", C26)), ISNUMBER(SEARCH("Rum", D26))), "Rum",
IF(OR(ISNUMBER(SEARCH("Whiskey", C26)), ISNUMBER(SEARCH("Whiskey", D26))), "Whiskey",
IF(OR(ISNUMBER(SEARCH("Gin", C26)), ISNUMBER(SEARCH("Gin", D26))), "Gin",
IF(OR(ISNUMBER(SEARCH("Liqueur", C26)), ISNUMBER(SEARCH("Liqueur", D26))), "Liqueur", "")))))</f>
        <v/>
      </c>
      <c r="C26" s="58">
        <f>IF(OR(ISNUMBER( SEARCH("plata",#REF!)), ISNUMBER( SEARCH("blanco",#REF!)), ISNUMBER( SEARCH("silver",#REF!))), "Silver",
 IF(ISNUMBER( SEARCH("gold",#REF!)), "Gold",
 IF(ISNUMBER( SEARCH("reposado",#REF!)), "Reposado",
 IF(AND(ISNUMBER( SEARCH("anejo",#REF!)), NOT(ISNUMBER( SEARCH("extra anejo",#REF!)))), "Anejo",
 IF(ISNUMBER( SEARCH("extra anejo",#REF!)), "Extra Anejo", "")))))</f>
        <v/>
      </c>
      <c r="D26" s="51" t="inlineStr">
        <is>
          <t>ArteNOM 1579 Blanco Tequila (750mL/item) - $48.27 2</t>
        </is>
      </c>
      <c r="E26" s="52" t="n">
        <v>750</v>
      </c>
      <c r="F26" s="51">
        <f>TRIM(MID(D26, FIND("$", D26), FIND(" ", D26, FIND("$", D26)) - FIND("$", D26))
)</f>
        <v/>
      </c>
      <c r="G26" s="53" t="n">
        <v>29.57</v>
      </c>
      <c r="H26" s="54">
        <f>SUM(E26/G26)</f>
        <v/>
      </c>
      <c r="I26" s="104">
        <f>SUM(F26/H26)</f>
        <v/>
      </c>
      <c r="J26" s="105">
        <f>SUM(4*I26)</f>
        <v/>
      </c>
      <c r="K26" s="100">
        <f>SUM(I26*1.5)</f>
        <v/>
      </c>
      <c r="L26" s="101">
        <f>SUM(K26*4)</f>
        <v/>
      </c>
      <c r="M26" s="102">
        <f>SUM(I26*2)</f>
        <v/>
      </c>
      <c r="N26" s="103">
        <f>SUM(M26*4)</f>
        <v/>
      </c>
    </row>
    <row r="27" ht="15.75" customHeight="1">
      <c r="A27" s="35" t="n">
        <v>75</v>
      </c>
      <c r="B27" s="49">
        <f>IF(OR(ISNUMBER(SEARCH("Tequila", C27)), ISNUMBER(SEARCH("Tequila", D27))), "Tequila",
IF(OR(ISNUMBER(SEARCH("Rum", C27)), ISNUMBER(SEARCH("Rum", D27))), "Rum",
IF(OR(ISNUMBER(SEARCH("Whiskey", C27)), ISNUMBER(SEARCH("Whiskey", D27))), "Whiskey",
IF(OR(ISNUMBER(SEARCH("Gin", C27)), ISNUMBER(SEARCH("Gin", D27))), "Gin",
IF(OR(ISNUMBER(SEARCH("Liqueur", C27)), ISNUMBER(SEARCH("Liqueur", D27))), "Liqueur", "")))))</f>
        <v/>
      </c>
      <c r="C27" s="58">
        <f>IF(OR(ISNUMBER( SEARCH("plata",#REF!)), ISNUMBER( SEARCH("blanco",#REF!)), ISNUMBER( SEARCH("silver",#REF!))), "Silver",
 IF(ISNUMBER( SEARCH("gold",#REF!)), "Gold",
 IF(ISNUMBER( SEARCH("reposado",#REF!)), "Reposado",
 IF(AND(ISNUMBER( SEARCH("anejo",#REF!)), NOT(ISNUMBER( SEARCH("extra anejo",#REF!)))), "Anejo",
 IF(ISNUMBER( SEARCH("extra anejo",#REF!)), "Extra Anejo", "")))))</f>
        <v/>
      </c>
      <c r="D27" s="51" t="inlineStr">
        <is>
          <t>ArteNOM Historico 1123 Blanco Tequila (750mL/item) - $58.69 2</t>
        </is>
      </c>
      <c r="E27" s="52" t="n">
        <v>750</v>
      </c>
      <c r="F27" s="51">
        <f>TRIM(MID(D27, FIND("$", D27), FIND(" ", D27, FIND("$", D27)) - FIND("$", D27))
)</f>
        <v/>
      </c>
      <c r="G27" s="53" t="n">
        <v>29.57</v>
      </c>
      <c r="H27" s="54">
        <f>SUM(E27/G27)</f>
        <v/>
      </c>
      <c r="I27" s="104">
        <f>SUM(F27/H27)</f>
        <v/>
      </c>
      <c r="J27" s="105">
        <f>SUM(4*I27)</f>
        <v/>
      </c>
      <c r="K27" s="100">
        <f>SUM(I27*1.5)</f>
        <v/>
      </c>
      <c r="L27" s="101">
        <f>SUM(K27*4)</f>
        <v/>
      </c>
      <c r="M27" s="102">
        <f>SUM(I27*2)</f>
        <v/>
      </c>
      <c r="N27" s="103">
        <f>SUM(M27*4)</f>
        <v/>
      </c>
    </row>
    <row r="28" ht="15.75" customHeight="1">
      <c r="A28" s="35" t="n">
        <v>76</v>
      </c>
      <c r="B28" s="49">
        <f>IF(OR(ISNUMBER(SEARCH("Tequila", C28)), ISNUMBER(SEARCH("Tequila", D28))), "Tequila",
IF(OR(ISNUMBER(SEARCH("Rum", C28)), ISNUMBER(SEARCH("Rum", D28))), "Rum",
IF(OR(ISNUMBER(SEARCH("Whiskey", C28)), ISNUMBER(SEARCH("Whiskey", D28))), "Whiskey",
IF(OR(ISNUMBER(SEARCH("Gin", C28)), ISNUMBER(SEARCH("Gin", D28))), "Gin",
IF(OR(ISNUMBER(SEARCH("Liqueur", C28)), ISNUMBER(SEARCH("Liqueur", D28))), "Liqueur", "")))))</f>
        <v/>
      </c>
      <c r="C28" s="58">
        <f>IF(OR(ISNUMBER( SEARCH("plata",#REF!)), ISNUMBER( SEARCH("blanco",#REF!)), ISNUMBER( SEARCH("silver",#REF!))), "Silver",
 IF(ISNUMBER( SEARCH("gold",#REF!)), "Gold",
 IF(ISNUMBER( SEARCH("reposado",#REF!)), "Reposado",
 IF(AND(ISNUMBER( SEARCH("anejo",#REF!)), NOT(ISNUMBER( SEARCH("extra anejo",#REF!)))), "Anejo",
 IF(ISNUMBER( SEARCH("extra anejo",#REF!)), "Extra Anejo", "")))))</f>
        <v/>
      </c>
      <c r="D28" s="51" t="inlineStr">
        <is>
          <t>AsomBroso El Platino Silver Tequila (750mL/item) - $42.47 1</t>
        </is>
      </c>
      <c r="E28" s="52" t="n">
        <v>750</v>
      </c>
      <c r="F28" s="51">
        <f>TRIM(MID(D28, FIND("$", D28), FIND(" ", D28, FIND("$", D28)) - FIND("$", D28))
)</f>
        <v/>
      </c>
      <c r="G28" s="53" t="n">
        <v>29.57</v>
      </c>
      <c r="H28" s="54">
        <f>SUM(E28/G28)</f>
        <v/>
      </c>
      <c r="I28" s="104">
        <f>SUM(F28/H28)</f>
        <v/>
      </c>
      <c r="J28" s="105">
        <f>SUM(4*I28)</f>
        <v/>
      </c>
      <c r="K28" s="100">
        <f>SUM(I28*1.5)</f>
        <v/>
      </c>
      <c r="L28" s="101">
        <f>SUM(K28*4)</f>
        <v/>
      </c>
      <c r="M28" s="102">
        <f>SUM(I28*2)</f>
        <v/>
      </c>
      <c r="N28" s="103">
        <f>SUM(M28*4)</f>
        <v/>
      </c>
    </row>
    <row r="29" ht="15.75" customHeight="1">
      <c r="A29" s="35" t="n">
        <v>77</v>
      </c>
      <c r="B29" s="49">
        <f>IF(OR(ISNUMBER(SEARCH("Tequila", C29)), ISNUMBER(SEARCH("Tequila", D29))), "Tequila",
IF(OR(ISNUMBER(SEARCH("Rum", C29)), ISNUMBER(SEARCH("Rum", D29))), "Rum",
IF(OR(ISNUMBER(SEARCH("Whiskey", C29)), ISNUMBER(SEARCH("Whiskey", D29))), "Whiskey",
IF(OR(ISNUMBER(SEARCH("Gin", C29)), ISNUMBER(SEARCH("Gin", D29))), "Gin",
IF(OR(ISNUMBER(SEARCH("Liqueur", C29)), ISNUMBER(SEARCH("Liqueur", D29))), "Liqueur", "")))))</f>
        <v/>
      </c>
      <c r="C29" s="57">
        <f>IF(OR(ISNUMBER( SEARCH("plata",#REF!)), ISNUMBER( SEARCH("blanco",#REF!)), ISNUMBER( SEARCH("silver",#REF!))), "Silver",
 IF(ISNUMBER( SEARCH("gold",#REF!)), "Gold",
 IF(ISNUMBER( SEARCH("reposado",#REF!)), "Reposado",
 IF(AND(ISNUMBER( SEARCH("anejo",#REF!)), NOT(ISNUMBER( SEARCH("extra anejo",#REF!)))), "Anejo",
 IF(ISNUMBER( SEARCH("extra anejo",#REF!)), "Extra Anejo", "")))))</f>
        <v/>
      </c>
      <c r="D29" s="51" t="inlineStr">
        <is>
          <t>Asombroso Eros Reposado Tequila (750mL/item) - $102.13 1</t>
        </is>
      </c>
      <c r="E29" s="52" t="n">
        <v>750</v>
      </c>
      <c r="F29" s="51">
        <f>TRIM(MID(D29, FIND("$", D29), FIND(" ", D29, FIND("$", D29)) - FIND("$", D29))
)</f>
        <v/>
      </c>
      <c r="G29" s="53" t="n">
        <v>29.57</v>
      </c>
      <c r="H29" s="54">
        <f>SUM(E29/G29)</f>
        <v/>
      </c>
      <c r="I29" s="104">
        <f>SUM(F29/H29)</f>
        <v/>
      </c>
      <c r="J29" s="105">
        <f>SUM(4*I29)</f>
        <v/>
      </c>
      <c r="K29" s="100">
        <f>SUM(I29*1.5)</f>
        <v/>
      </c>
      <c r="L29" s="101">
        <f>SUM(K29*4)</f>
        <v/>
      </c>
      <c r="M29" s="102">
        <f>SUM(I29*2)</f>
        <v/>
      </c>
      <c r="N29" s="103">
        <f>SUM(M29*4)</f>
        <v/>
      </c>
    </row>
    <row r="30" ht="15.75" customHeight="1">
      <c r="A30" s="35" t="n">
        <v>78</v>
      </c>
      <c r="B30" s="49">
        <f>IF(OR(ISNUMBER(SEARCH("Tequila", C30)), ISNUMBER(SEARCH("Tequila", D30))), "Tequila",
IF(OR(ISNUMBER(SEARCH("Rum", C30)), ISNUMBER(SEARCH("Rum", D30))), "Rum",
IF(OR(ISNUMBER(SEARCH("Whiskey", C30)), ISNUMBER(SEARCH("Whiskey", D30))), "Whiskey",
IF(OR(ISNUMBER(SEARCH("Gin", C30)), ISNUMBER(SEARCH("Gin", D30))), "Gin",
IF(OR(ISNUMBER(SEARCH("Liqueur", C30)), ISNUMBER(SEARCH("Liqueur", D30))), "Liqueur", "")))))</f>
        <v/>
      </c>
      <c r="C30" s="57">
        <f>IF(OR(ISNUMBER( SEARCH("plata",#REF!)), ISNUMBER( SEARCH("blanco",#REF!)), ISNUMBER( SEARCH("silver",#REF!))), "Silver",
 IF(ISNUMBER( SEARCH("gold",#REF!)), "Gold",
 IF(ISNUMBER( SEARCH("reposado",#REF!)), "Reposado",
 IF(AND(ISNUMBER( SEARCH("anejo",#REF!)), NOT(ISNUMBER( SEARCH("extra anejo",#REF!)))), "Anejo",
 IF(ISNUMBER( SEARCH("extra anejo",#REF!)), "Extra Anejo", "")))))</f>
        <v/>
      </c>
      <c r="D30" s="51" t="inlineStr">
        <is>
          <t>Asombroso Rosa Reposado Tequila (750mL/item) - $39.40 1</t>
        </is>
      </c>
      <c r="E30" s="52" t="n">
        <v>750</v>
      </c>
      <c r="F30" s="51">
        <f>TRIM(MID(D30, FIND("$", D30), FIND(" ", D30, FIND("$", D30)) - FIND("$", D30))
)</f>
        <v/>
      </c>
      <c r="G30" s="53" t="n">
        <v>29.57</v>
      </c>
      <c r="H30" s="54">
        <f>SUM(E30/G30)</f>
        <v/>
      </c>
      <c r="I30" s="104">
        <f>SUM(F30/H30)</f>
        <v/>
      </c>
      <c r="J30" s="105">
        <f>SUM(4*I30)</f>
        <v/>
      </c>
      <c r="K30" s="100">
        <f>SUM(I30*1.5)</f>
        <v/>
      </c>
      <c r="L30" s="101">
        <f>SUM(K30*4)</f>
        <v/>
      </c>
      <c r="M30" s="102">
        <f>SUM(I30*2)</f>
        <v/>
      </c>
      <c r="N30" s="103">
        <f>SUM(M30*4)</f>
        <v/>
      </c>
    </row>
    <row r="31" ht="15.75" customHeight="1">
      <c r="A31" s="35" t="n">
        <v>217</v>
      </c>
      <c r="B31" s="49">
        <f>IF(OR(ISNUMBER(SEARCH("Tequila", C31)), ISNUMBER(SEARCH("Tequila", D31))), "Tequila",
IF(OR(ISNUMBER(SEARCH("Rum", C31)), ISNUMBER(SEARCH("Rum", D31))), "Rum",
IF(OR(ISNUMBER(SEARCH("Whiskey", C31)), ISNUMBER(SEARCH("Whiskey", D31))), "Whiskey",
IF(OR(ISNUMBER(SEARCH("Gin", C31)), ISNUMBER(SEARCH("Gin", D31))), "Gin",
IF(OR(ISNUMBER(SEARCH("Liqueur", C31)), ISNUMBER(SEARCH("Liqueur", D31))), "Liqueur", "")))))</f>
        <v/>
      </c>
      <c r="C31" s="52">
        <f>IF(OR(ISNUMBER( SEARCH("plata",#REF!)), ISNUMBER( SEARCH("blanco",#REF!)), ISNUMBER( SEARCH("silver",#REF!))), "Silver",
 IF(ISNUMBER( SEARCH("gold",#REF!)), "Gold",
 IF(ISNUMBER( SEARCH("reposado",#REF!)), "Reposado",
 IF(AND(ISNUMBER( SEARCH("anejo",#REF!)), NOT(ISNUMBER( SEARCH("extra anejo",#REF!)))), "Anejo",
 IF(ISNUMBER( SEARCH("extra anejo",#REF!)), "Extra Anejo", "")))))</f>
        <v/>
      </c>
      <c r="D31" s="51" t="inlineStr">
        <is>
          <t>Atanasio Anejo Tequila (750mL/item) - $99.10 1</t>
        </is>
      </c>
      <c r="E31" s="52" t="n">
        <v>750</v>
      </c>
      <c r="F31" s="51">
        <f>TRIM(MID(D31, FIND("$", D31), FIND(" ", D31, FIND("$", D31)) - FIND("$", D31))
)</f>
        <v/>
      </c>
      <c r="G31" s="53" t="n">
        <v>29.57</v>
      </c>
      <c r="H31" s="54">
        <f>SUM(E31/G31)</f>
        <v/>
      </c>
      <c r="I31" s="104">
        <f>SUM(F31/H31)</f>
        <v/>
      </c>
      <c r="J31" s="105">
        <f>SUM(4*I31)</f>
        <v/>
      </c>
      <c r="K31" s="100">
        <f>SUM(I31*1.5)</f>
        <v/>
      </c>
      <c r="L31" s="101">
        <f>SUM(K31*4)</f>
        <v/>
      </c>
      <c r="M31" s="102">
        <f>SUM(I31*2)</f>
        <v/>
      </c>
      <c r="N31" s="103">
        <f>SUM(M31*4)</f>
        <v/>
      </c>
    </row>
    <row r="32" ht="15.75" customHeight="1">
      <c r="A32" s="35" t="n">
        <v>215</v>
      </c>
      <c r="B32" s="49">
        <f>IF(OR(ISNUMBER(SEARCH("Tequila", C32)), ISNUMBER(SEARCH("Tequila", D32))), "Tequila",
IF(OR(ISNUMBER(SEARCH("Rum", C32)), ISNUMBER(SEARCH("Rum", D32))), "Rum",
IF(OR(ISNUMBER(SEARCH("Whiskey", C32)), ISNUMBER(SEARCH("Whiskey", D32))), "Whiskey",
IF(OR(ISNUMBER(SEARCH("Gin", C32)), ISNUMBER(SEARCH("Gin", D32))), "Gin",
IF(OR(ISNUMBER(SEARCH("Liqueur", C32)), ISNUMBER(SEARCH("Liqueur", D32))), "Liqueur", "")))))</f>
        <v/>
      </c>
      <c r="C32" s="58">
        <f>IF(OR(ISNUMBER( SEARCH("plata",#REF!)), ISNUMBER( SEARCH("blanco",#REF!)), ISNUMBER( SEARCH("silver",#REF!))), "Silver",
 IF(ISNUMBER( SEARCH("gold",#REF!)), "Gold",
 IF(ISNUMBER( SEARCH("reposado",#REF!)), "Reposado",
 IF(AND(ISNUMBER( SEARCH("anejo",#REF!)), NOT(ISNUMBER( SEARCH("extra anejo",#REF!)))), "Anejo",
 IF(ISNUMBER( SEARCH("extra anejo",#REF!)), "Extra Anejo", "")))))</f>
        <v/>
      </c>
      <c r="D32" s="51" t="inlineStr">
        <is>
          <t>Atanasio Blanco Tequila (750mL/item) - $62.33 1</t>
        </is>
      </c>
      <c r="E32" s="52" t="n">
        <v>750</v>
      </c>
      <c r="F32" s="51">
        <f>TRIM(MID(D32, FIND("$", D32), FIND(" ", D32, FIND("$", D32)) - FIND("$", D32))
)</f>
        <v/>
      </c>
      <c r="G32" s="53" t="n">
        <v>29.57</v>
      </c>
      <c r="H32" s="54">
        <f>SUM(E32/G32)</f>
        <v/>
      </c>
      <c r="I32" s="104">
        <f>SUM(F32/H32)</f>
        <v/>
      </c>
      <c r="J32" s="105">
        <f>SUM(4*I32)</f>
        <v/>
      </c>
      <c r="K32" s="100">
        <f>SUM(I32*1.5)</f>
        <v/>
      </c>
      <c r="L32" s="101">
        <f>SUM(K32*4)</f>
        <v/>
      </c>
      <c r="M32" s="102">
        <f>SUM(I32*2)</f>
        <v/>
      </c>
      <c r="N32" s="103">
        <f>SUM(M32*4)</f>
        <v/>
      </c>
    </row>
    <row r="33" ht="15.75" customHeight="1">
      <c r="A33" s="35" t="n">
        <v>216</v>
      </c>
      <c r="B33" s="49">
        <f>IF(OR(ISNUMBER(SEARCH("Tequila", C33)), ISNUMBER(SEARCH("Tequila", D33))), "Tequila",
IF(OR(ISNUMBER(SEARCH("Rum", C33)), ISNUMBER(SEARCH("Rum", D33))), "Rum",
IF(OR(ISNUMBER(SEARCH("Whiskey", C33)), ISNUMBER(SEARCH("Whiskey", D33))), "Whiskey",
IF(OR(ISNUMBER(SEARCH("Gin", C33)), ISNUMBER(SEARCH("Gin", D33))), "Gin",
IF(OR(ISNUMBER(SEARCH("Liqueur", C33)), ISNUMBER(SEARCH("Liqueur", D33))), "Liqueur", "")))))</f>
        <v/>
      </c>
      <c r="C33" s="57">
        <f>IF(OR(ISNUMBER( SEARCH("plata",#REF!)), ISNUMBER( SEARCH("blanco",#REF!)), ISNUMBER( SEARCH("silver",#REF!))), "Silver",
 IF(ISNUMBER( SEARCH("gold",#REF!)), "Gold",
 IF(ISNUMBER( SEARCH("reposado",#REF!)), "Reposado",
 IF(AND(ISNUMBER( SEARCH("anejo",#REF!)), NOT(ISNUMBER( SEARCH("extra anejo",#REF!)))), "Anejo",
 IF(ISNUMBER( SEARCH("extra anejo",#REF!)), "Extra Anejo", "")))))</f>
        <v/>
      </c>
      <c r="D33" s="51" t="inlineStr">
        <is>
          <t>Atanasio Reposado Tequila (750mL/item) - $74.58 1</t>
        </is>
      </c>
      <c r="E33" s="52" t="n">
        <v>750</v>
      </c>
      <c r="F33" s="51">
        <f>TRIM(MID(D33, FIND("$", D33), FIND(" ", D33, FIND("$", D33)) - FIND("$", D33))
)</f>
        <v/>
      </c>
      <c r="G33" s="53" t="n">
        <v>29.57</v>
      </c>
      <c r="H33" s="54">
        <f>SUM(E33/G33)</f>
        <v/>
      </c>
      <c r="I33" s="104">
        <f>SUM(F33/H33)</f>
        <v/>
      </c>
      <c r="J33" s="105">
        <f>SUM(4*I33)</f>
        <v/>
      </c>
      <c r="K33" s="100">
        <f>SUM(I33*1.5)</f>
        <v/>
      </c>
      <c r="L33" s="101">
        <f>SUM(K33*4)</f>
        <v/>
      </c>
      <c r="M33" s="102">
        <f>SUM(I33*2)</f>
        <v/>
      </c>
      <c r="N33" s="103">
        <f>SUM(M33*4)</f>
        <v/>
      </c>
    </row>
    <row r="34" ht="15.75" customHeight="1">
      <c r="A34" s="59" t="n"/>
      <c r="B34" s="49">
        <f>IF(OR(ISNUMBER(SEARCH("Tequila", C34)), ISNUMBER(SEARCH("Tequila", D34))), "Tequila",
IF(OR(ISNUMBER(SEARCH("Rum", C34)), ISNUMBER(SEARCH("Rum", D34))), "Rum",
IF(OR(ISNUMBER(SEARCH("Whiskey", C34)), ISNUMBER(SEARCH("Whiskey", D34))), "Whiskey",
IF(OR(ISNUMBER(SEARCH("Gin", C34)), ISNUMBER(SEARCH("Gin", D34))), "Gin",
IF(OR(ISNUMBER(SEARCH("Liqueur", C34)), ISNUMBER(SEARCH("Liqueur", D34))), "Liqueur", "")))))</f>
        <v/>
      </c>
      <c r="C34" s="52">
        <f>IF(OR(ISNUMBER( SEARCH("plata",#REF!)), ISNUMBER( SEARCH("blanco",#REF!)), ISNUMBER( SEARCH("silver",#REF!))), "Silver",
 IF(ISNUMBER( SEARCH("gold",#REF!)), "Gold",
 IF(ISNUMBER( SEARCH("reposado",#REF!)), "Reposado",
 IF(AND(ISNUMBER( SEARCH("anejo",#REF!)), NOT(ISNUMBER( SEARCH("extra anejo",#REF!)))), "Anejo",
 IF(ISNUMBER( SEARCH("extra anejo",#REF!)), "Extra Anejo", "")))))</f>
        <v/>
      </c>
      <c r="D34" s="60" t="inlineStr">
        <is>
          <t>Avion Cristalino Tequila (750mL) $125.19 1</t>
        </is>
      </c>
      <c r="E34" s="52" t="n">
        <v>750</v>
      </c>
      <c r="F34" s="51">
        <f>TRIM(MID(D34, FIND("$", D34), FIND(" ", D34, FIND("$", D34)) - FIND("$", D34))
)</f>
        <v/>
      </c>
      <c r="G34" s="53" t="n">
        <v>29.57</v>
      </c>
      <c r="H34" s="54">
        <f>SUM(E34/G34)</f>
        <v/>
      </c>
      <c r="I34" s="104">
        <f>SUM(F34/H34)</f>
        <v/>
      </c>
      <c r="J34" s="105">
        <f>SUM(4*I34)</f>
        <v/>
      </c>
      <c r="K34" s="100">
        <f>SUM(I34*1.5)</f>
        <v/>
      </c>
      <c r="L34" s="101">
        <f>SUM(K34*4)</f>
        <v/>
      </c>
      <c r="M34" s="102">
        <f>SUM(I34*2)</f>
        <v/>
      </c>
      <c r="N34" s="103">
        <f>SUM(M34*4)</f>
        <v/>
      </c>
    </row>
    <row r="35" ht="15.75" customHeight="1">
      <c r="A35" s="59" t="n"/>
      <c r="B35" s="49">
        <f>IF(OR(ISNUMBER(SEARCH("Tequila", C35)), ISNUMBER(SEARCH("Tequila", D35))), "Tequila",
IF(OR(ISNUMBER(SEARCH("Rum", C35)), ISNUMBER(SEARCH("Rum", D35))), "Rum",
IF(OR(ISNUMBER(SEARCH("Whiskey", C35)), ISNUMBER(SEARCH("Whiskey", D35))), "Whiskey",
IF(OR(ISNUMBER(SEARCH("Gin", C35)), ISNUMBER(SEARCH("Gin", D35))), "Gin",
IF(OR(ISNUMBER(SEARCH("Liqueur", C35)), ISNUMBER(SEARCH("Liqueur", D35))), "Liqueur", "")))))</f>
        <v/>
      </c>
      <c r="C35" s="52">
        <f>IF(OR(ISNUMBER( SEARCH("plata",#REF!)), ISNUMBER( SEARCH("blanco",#REF!)), ISNUMBER( SEARCH("silver",#REF!))), "Silver",
 IF(ISNUMBER( SEARCH("gold",#REF!)), "Gold",
 IF(ISNUMBER( SEARCH("reposado",#REF!)), "Reposado",
 IF(AND(ISNUMBER( SEARCH("anejo",#REF!)), NOT(ISNUMBER( SEARCH("extra anejo",#REF!)))), "Anejo",
 IF(ISNUMBER( SEARCH("extra anejo",#REF!)), "Extra Anejo", "")))))</f>
        <v/>
      </c>
      <c r="D35" s="60" t="n"/>
      <c r="E35" s="52" t="n"/>
      <c r="F35" s="51" t="n"/>
      <c r="G35" s="53" t="n"/>
      <c r="H35" s="54" t="n"/>
      <c r="I35" s="104" t="n"/>
      <c r="J35" s="105" t="n"/>
      <c r="K35" s="100" t="n"/>
      <c r="L35" s="101" t="n"/>
      <c r="M35" s="102" t="n"/>
      <c r="N35" s="103" t="n"/>
    </row>
    <row r="36" ht="15.75" customHeight="1">
      <c r="A36" s="59" t="n"/>
      <c r="B36" s="49">
        <f>IF(OR(ISNUMBER(SEARCH("Tequila", C36)), ISNUMBER(SEARCH("Tequila", D36))), "Tequila",
IF(OR(ISNUMBER(SEARCH("Rum", C36)), ISNUMBER(SEARCH("Rum", D36))), "Rum",
IF(OR(ISNUMBER(SEARCH("Whiskey", C36)), ISNUMBER(SEARCH("Whiskey", D36))), "Whiskey",
IF(OR(ISNUMBER(SEARCH("Gin", C36)), ISNUMBER(SEARCH("Gin", D36))), "Gin",
IF(OR(ISNUMBER(SEARCH("Liqueur", C36)), ISNUMBER(SEARCH("Liqueur", D36))), "Liqueur", "")))))</f>
        <v/>
      </c>
      <c r="C36" s="50">
        <f>IF(OR(ISNUMBER( SEARCH("plata",#REF!)), ISNUMBER( SEARCH("blanco",#REF!)), ISNUMBER( SEARCH("silver",#REF!))), "Silver",
 IF(ISNUMBER( SEARCH("gold",#REF!)), "Gold",
 IF(ISNUMBER( SEARCH("reposado",#REF!)), "Reposado",
 IF(AND(ISNUMBER( SEARCH("anejo",#REF!)), NOT(ISNUMBER( SEARCH("extra anejo",#REF!)))), "Anejo",
 IF(ISNUMBER( SEARCH("extra anejo",#REF!)), "Extra Anejo", "")))))</f>
        <v/>
      </c>
      <c r="D36" s="60" t="inlineStr">
        <is>
          <t>Azunia Black Extra Anejo Tequila (750mL) $91.63 1</t>
        </is>
      </c>
      <c r="E36" s="52" t="n">
        <v>750</v>
      </c>
      <c r="F36" s="51">
        <f>TRIM(MID(D36, FIND("$", D36), FIND(" ", D36, FIND("$", D36)) - FIND("$", D36))
)</f>
        <v/>
      </c>
      <c r="G36" s="53" t="n">
        <v>29.57</v>
      </c>
      <c r="H36" s="54">
        <f>SUM(E36/G36)</f>
        <v/>
      </c>
      <c r="I36" s="104">
        <f>SUM(F36/H36)</f>
        <v/>
      </c>
      <c r="J36" s="105">
        <f>SUM(4*I36)</f>
        <v/>
      </c>
      <c r="K36" s="100">
        <f>SUM(I36*1.5)</f>
        <v/>
      </c>
      <c r="L36" s="101">
        <f>SUM(K36*4)</f>
        <v/>
      </c>
      <c r="M36" s="102">
        <f>SUM(I36*2)</f>
        <v/>
      </c>
      <c r="N36" s="103">
        <f>SUM(M36*4)</f>
        <v/>
      </c>
    </row>
    <row r="37" ht="15.75" customHeight="1">
      <c r="A37" s="35" t="n">
        <v>334</v>
      </c>
      <c r="B37" s="49">
        <f>IF(OR(ISNUMBER(SEARCH("Tequila", C37)), ISNUMBER(SEARCH("Tequila", D37))), "Tequila",
IF(OR(ISNUMBER(SEARCH("Rum", C37)), ISNUMBER(SEARCH("Rum", D37))), "Rum",
IF(OR(ISNUMBER(SEARCH("Whiskey", C37)), ISNUMBER(SEARCH("Whiskey", D37))), "Whiskey",
IF(OR(ISNUMBER(SEARCH("Gin", C37)), ISNUMBER(SEARCH("Gin", D37))), "Gin",
IF(OR(ISNUMBER(SEARCH("Liqueur", C37)), ISNUMBER(SEARCH("Liqueur", D37))), "Liqueur", "")))))</f>
        <v/>
      </c>
      <c r="C37" s="52">
        <f>IF(OR(ISNUMBER( SEARCH("plata",#REF!)), ISNUMBER( SEARCH("blanco",#REF!)), ISNUMBER( SEARCH("silver",#REF!))), "Silver",
 IF(ISNUMBER( SEARCH("gold",#REF!)), "Gold",
 IF(ISNUMBER( SEARCH("reposado",#REF!)), "Reposado",
 IF(AND(ISNUMBER( SEARCH("anejo",#REF!)), NOT(ISNUMBER( SEARCH("extra anejo",#REF!)))), "Anejo",
 IF(ISNUMBER( SEARCH("extra anejo",#REF!)), "Extra Anejo", "")))))</f>
        <v/>
      </c>
      <c r="D37" s="51" t="inlineStr">
        <is>
          <t>Balvenie Caribbean Cask 14yr Highlands Single Malt Scotch Whiskey (750mL/item) - $86.79 1</t>
        </is>
      </c>
      <c r="E37" s="52" t="n">
        <v>750</v>
      </c>
      <c r="F37" s="51">
        <f>TRIM(MID(D37, FIND("$", D37), FIND(" ", D37, FIND("$", D37)) - FIND("$", D37))
)</f>
        <v/>
      </c>
      <c r="G37" s="53" t="n">
        <v>29.57</v>
      </c>
      <c r="H37" s="54">
        <f>SUM(E37/G37)</f>
        <v/>
      </c>
      <c r="I37" s="104">
        <f>SUM(F37/H37)</f>
        <v/>
      </c>
      <c r="J37" s="105">
        <f>SUM(4*I37)</f>
        <v/>
      </c>
      <c r="K37" s="100">
        <f>SUM(I37*1.5)</f>
        <v/>
      </c>
      <c r="L37" s="101">
        <f>SUM(K37*4)</f>
        <v/>
      </c>
      <c r="M37" s="102">
        <f>SUM(I37*2)</f>
        <v/>
      </c>
      <c r="N37" s="103">
        <f>SUM(M37*4)</f>
        <v/>
      </c>
    </row>
    <row r="38" ht="15.75" customHeight="1">
      <c r="A38" s="35" t="n">
        <v>22</v>
      </c>
      <c r="B38" s="49">
        <f>IF(OR(ISNUMBER(SEARCH("Tequila", C38)), ISNUMBER(SEARCH("Tequila", D38))), "Tequila",
IF(OR(ISNUMBER(SEARCH("Rum", C38)), ISNUMBER(SEARCH("Rum", D38))), "Rum",
IF(OR(ISNUMBER(SEARCH("Whiskey", C38)), ISNUMBER(SEARCH("Whiskey", D38))), "Whiskey",
IF(OR(ISNUMBER(SEARCH("Gin", C38)), ISNUMBER(SEARCH("Gin", D38))), "Gin",
IF(OR(ISNUMBER(SEARCH("Liqueur", C38)), ISNUMBER(SEARCH("Liqueur", D38))), "Liqueur", "")))))</f>
        <v/>
      </c>
      <c r="C38" s="52">
        <f>IF(OR(ISNUMBER(SEARCH("plata", D38)), ISNUMBER(SEARCH("blanco", D38)), ISNUMBER(SEARCH("silver", D38))), "Silver",
 IF(ISNUMBER(SEARCH("gold", D38)), "Gold",
 IF(ISNUMBER(SEARCH("reposado", D38)), "Reposado",
 IF(ISNUMBER(SEARCH("anejo", D38)), "Anejo",
 IF(ISNUMBER(SEARCH("extra anejo", D38)), "Extra Anejo", "")))))</f>
        <v/>
      </c>
      <c r="D38" s="51" t="inlineStr">
        <is>
          <t>Barsol Acholado Pisco (750mL / item) $31.23 3</t>
        </is>
      </c>
      <c r="E38" s="52" t="n">
        <v>750</v>
      </c>
      <c r="F38" s="51">
        <f>TRIM(MID(D38, FIND("$", D38), FIND(" ", D38, FIND("$", D38)) - FIND("$", D38))
)</f>
        <v/>
      </c>
      <c r="G38" s="53" t="n">
        <v>29.57</v>
      </c>
      <c r="H38" s="54">
        <f>SUM(E38/G38)</f>
        <v/>
      </c>
      <c r="I38" s="104">
        <f>SUM(F38/H38)</f>
        <v/>
      </c>
      <c r="J38" s="105">
        <f>SUM(4*I38)</f>
        <v/>
      </c>
      <c r="K38" s="100">
        <f>SUM(I38*1.5)</f>
        <v/>
      </c>
      <c r="L38" s="101">
        <f>SUM(K38*4)</f>
        <v/>
      </c>
      <c r="M38" s="102">
        <f>SUM(I38*2)</f>
        <v/>
      </c>
      <c r="N38" s="103">
        <f>SUM(M38*4)</f>
        <v/>
      </c>
    </row>
    <row r="39" ht="15.75" customHeight="1">
      <c r="A39" s="35" t="n">
        <v>36</v>
      </c>
      <c r="B39" s="49">
        <f>IF(OR(ISNUMBER(SEARCH("Tequila", C39)), ISNUMBER(SEARCH("Tequila", D39))), "Tequila",
IF(OR(ISNUMBER(SEARCH("Rum", C39)), ISNUMBER(SEARCH("Rum", D39))), "Rum",
IF(OR(ISNUMBER(SEARCH("Whiskey", C39)), ISNUMBER(SEARCH("Whiskey", D39))), "Whiskey",
IF(OR(ISNUMBER(SEARCH("Gin", C39)), ISNUMBER(SEARCH("Gin", D39))), "Gin",
IF(OR(ISNUMBER(SEARCH("Liqueur", C39)), ISNUMBER(SEARCH("Liqueur", D39))), "Liqueur", "")))))</f>
        <v/>
      </c>
      <c r="C39" s="52">
        <f>IF(OR(ISNUMBER(SEARCH("plata", D39)), ISNUMBER(SEARCH("blanco", D39)), ISNUMBER(SEARCH("silver", D39))), "Silver",
 IF(ISNUMBER(SEARCH("gold", D39)), "Gold",
 IF(ISNUMBER(SEARCH("reposado", D39)), "Reposado",
 IF(ISNUMBER(SEARCH("anejo", D39)), "Anejo",
 IF(ISNUMBER(SEARCH("extra anejo", D39)), "Extra Anejo", "")))))</f>
        <v/>
      </c>
      <c r="D39" s="51" t="inlineStr">
        <is>
          <t>Blue Chair Bay Coconut Rum (750mL / item) $19.78 2</t>
        </is>
      </c>
      <c r="E39" s="52" t="n">
        <v>750</v>
      </c>
      <c r="F39" s="51">
        <f>TRIM(MID(D39, FIND("$", D39), FIND(" ", D39, FIND("$", D39)) - FIND("$", D39))
)</f>
        <v/>
      </c>
      <c r="G39" s="53" t="n">
        <v>29.57</v>
      </c>
      <c r="H39" s="54">
        <f>SUM(E39/G39)</f>
        <v/>
      </c>
      <c r="I39" s="104">
        <f>SUM(F39/H39)</f>
        <v/>
      </c>
      <c r="J39" s="105">
        <f>SUM(4*I39)</f>
        <v/>
      </c>
      <c r="K39" s="100">
        <f>SUM(I39*1.5)</f>
        <v/>
      </c>
      <c r="L39" s="101">
        <f>SUM(K39*4)</f>
        <v/>
      </c>
      <c r="M39" s="102">
        <f>SUM(I39*2)</f>
        <v/>
      </c>
      <c r="N39" s="103">
        <f>SUM(M39*4)</f>
        <v/>
      </c>
    </row>
    <row r="40" ht="15.75" customHeight="1">
      <c r="A40" s="35" t="n">
        <v>330</v>
      </c>
      <c r="B40" s="49">
        <f>IF(OR(ISNUMBER(SEARCH("Tequila", C40)), ISNUMBER(SEARCH("Tequila", D40))), "Tequila",
IF(OR(ISNUMBER(SEARCH("Rum", C40)), ISNUMBER(SEARCH("Rum", D40))), "Rum",
IF(OR(ISNUMBER(SEARCH("Whiskey", C40)), ISNUMBER(SEARCH("Whiskey", D40))), "Whiskey",
IF(OR(ISNUMBER(SEARCH("Gin", C40)), ISNUMBER(SEARCH("Gin", D40))), "Gin",
IF(OR(ISNUMBER(SEARCH("Liqueur", C40)), ISNUMBER(SEARCH("Liqueur", D40))), "Liqueur", "")))))</f>
        <v/>
      </c>
      <c r="C40" s="52">
        <f>IF(OR(ISNUMBER( SEARCH("plata",#REF!)), ISNUMBER( SEARCH("blanco",#REF!)), ISNUMBER( SEARCH("silver",#REF!))), "Silver",
 IF(ISNUMBER( SEARCH("gold",#REF!)), "Gold",
 IF(ISNUMBER( SEARCH("reposado",#REF!)), "Reposado",
 IF(AND(ISNUMBER( SEARCH("anejo",#REF!)), NOT(ISNUMBER( SEARCH("extra anejo",#REF!)))), "Anejo",
 IF(ISNUMBER( SEARCH("extra anejo",#REF!)), "Extra Anejo", "")))))</f>
        <v/>
      </c>
      <c r="D40" s="51" t="inlineStr">
        <is>
          <t>Bombay Sapphire Gin (750mL/item) - $25.50 2</t>
        </is>
      </c>
      <c r="E40" s="52" t="n">
        <v>750</v>
      </c>
      <c r="F40" s="51">
        <f>TRIM(MID(D40, FIND("$", D40), FIND(" ", D40, FIND("$", D40)) - FIND("$", D40))
)</f>
        <v/>
      </c>
      <c r="G40" s="53" t="n">
        <v>29.57</v>
      </c>
      <c r="H40" s="54">
        <f>SUM(E40/G40)</f>
        <v/>
      </c>
      <c r="I40" s="104">
        <f>SUM(F40/H40)</f>
        <v/>
      </c>
      <c r="J40" s="105">
        <f>SUM(4*I40)</f>
        <v/>
      </c>
      <c r="K40" s="100">
        <f>SUM(I40*1.5)</f>
        <v/>
      </c>
      <c r="L40" s="101">
        <f>SUM(K40*4)</f>
        <v/>
      </c>
      <c r="M40" s="102">
        <f>SUM(I40*2)</f>
        <v/>
      </c>
      <c r="N40" s="103">
        <f>SUM(M40*4)</f>
        <v/>
      </c>
    </row>
    <row r="41" ht="15.5" customHeight="1">
      <c r="A41" s="61" t="n"/>
      <c r="B41" s="61" t="n"/>
      <c r="C41" s="62" t="n"/>
      <c r="D41" s="61" t="n"/>
      <c r="E41" s="62" t="n"/>
      <c r="F41" s="61" t="n"/>
      <c r="H41" s="61" t="n"/>
      <c r="I41" s="63" t="n"/>
      <c r="K41" s="100">
        <f>SUM(I41*1.5)</f>
        <v/>
      </c>
      <c r="L41" s="101">
        <f>SUM(K41*4)</f>
        <v/>
      </c>
      <c r="M41" s="102">
        <f>SUM(I41*2)</f>
        <v/>
      </c>
      <c r="N41" s="103">
        <f>SUM(M41*4)</f>
        <v/>
      </c>
    </row>
    <row r="42" ht="15.75" customHeight="1">
      <c r="A42" s="35" t="n">
        <v>35</v>
      </c>
      <c r="B42" s="49">
        <f>IF(OR(ISNUMBER(SEARCH("Tequila", C42)), ISNUMBER(SEARCH("Tequila", D42))), "Tequila",
 IF(OR(ISNUMBER(SEARCH("Rum", C42)), ISNUMBER(SEARCH("Rum", D42))), "Rum",
 IF(OR(ISNUMBER(SEARCH("Whiskey", C42)), ISNUMBER(SEARCH("Whiskey", D42))), "Whiskey",
 IF(OR(ISNUMBER(SEARCH("Gin", C42)), ISNUMBER(SEARCH("Gin", D42))), "Gin",
 IF(OR(ISNUMBER(SEARCH("Liqueur", C42)), ISNUMBER(SEARCH("Liqueur", D42))), "Liqueur", "")))))</f>
        <v/>
      </c>
      <c r="C42" s="52">
        <f>IF(OR(ISNUMBER(SEARCH("plata", D42)), ISNUMBER(SEARCH("blanco", D42)), ISNUMBER(SEARCH("silver", D42))), "Silver",
 IF(ISNUMBER(SEARCH("gold", D42)), "Gold",
 IF(ISNUMBER(SEARCH("reposado", D42)), "Reposado",
 IF(ISNUMBER(SEARCH("anejo", D42)), "Anejo",
 IF(ISNUMBER(SEARCH("extra anejo", D42)), "Extra Anejo", "")))))</f>
        <v/>
      </c>
      <c r="D42" s="51" t="inlineStr">
        <is>
          <t>Bushmills Irish Whiskey (750mL / item) $24.69 2</t>
        </is>
      </c>
      <c r="E42" s="52" t="n">
        <v>750</v>
      </c>
      <c r="F42" s="51">
        <f>TRIM(MID(D42, FIND("$", D42), FIND(" ", D42, FIND("$", D42)) - FIND("$", D42))
)</f>
        <v/>
      </c>
      <c r="G42" s="53" t="n">
        <v>29.57</v>
      </c>
      <c r="H42" s="54">
        <f>SUM(E42/G42)</f>
        <v/>
      </c>
      <c r="I42" s="104">
        <f>SUM(F42/H42)</f>
        <v/>
      </c>
      <c r="J42" s="105">
        <f>SUM(4*I42)</f>
        <v/>
      </c>
      <c r="K42" s="100">
        <f>SUM(I42*1.5)</f>
        <v/>
      </c>
      <c r="L42" s="101">
        <f>SUM(K42*4)</f>
        <v/>
      </c>
      <c r="M42" s="102">
        <f>SUM(I42*2)</f>
        <v/>
      </c>
      <c r="N42" s="103">
        <f>SUM(M42*4)</f>
        <v/>
      </c>
    </row>
    <row r="43" ht="15.75" customHeight="1">
      <c r="A43" s="35" t="n">
        <v>79</v>
      </c>
      <c r="B43" s="49">
        <f>IF(OR(ISNUMBER(SEARCH("Tequila", C43)), ISNUMBER(SEARCH("Tequila", D43))), "Tequila",
IF(OR(ISNUMBER(SEARCH("Rum", C43)), ISNUMBER(SEARCH("Rum", D43))), "Rum",
IF(OR(ISNUMBER(SEARCH("Whiskey", C43)), ISNUMBER(SEARCH("Whiskey", D43))), "Whiskey",
IF(OR(ISNUMBER(SEARCH("Gin", C43)), ISNUMBER(SEARCH("Gin", D43))), "Gin",
IF(OR(ISNUMBER(SEARCH("Liqueur", C43)), ISNUMBER(SEARCH("Liqueur", D43))), "Liqueur", "")))))</f>
        <v/>
      </c>
      <c r="C43" s="58">
        <f>IF(OR(ISNUMBER( SEARCH("plata",#REF!)), ISNUMBER( SEARCH("blanco",#REF!)), ISNUMBER( SEARCH("silver",#REF!))), "Silver",
 IF(ISNUMBER( SEARCH("gold",#REF!)), "Gold",
 IF(ISNUMBER( SEARCH("reposado",#REF!)), "Reposado",
 IF(AND(ISNUMBER( SEARCH("anejo",#REF!)), NOT(ISNUMBER( SEARCH("extra anejo",#REF!)))), "Anejo",
 IF(ISNUMBER( SEARCH("extra anejo",#REF!)), "Extra Anejo", "")))))</f>
        <v/>
      </c>
      <c r="D43" s="51" t="inlineStr">
        <is>
          <t>Butterfly Cannon Blue Tequila (750mL/item) - $32.71 1</t>
        </is>
      </c>
      <c r="E43" s="52" t="n">
        <v>750</v>
      </c>
      <c r="F43" s="51">
        <f>TRIM(MID(D43, FIND("$", D43), FIND(" ", D43, FIND("$", D43)) - FIND("$", D43))
)</f>
        <v/>
      </c>
      <c r="G43" s="53" t="n">
        <v>29.57</v>
      </c>
      <c r="H43" s="54">
        <f>SUM(E43/G43)</f>
        <v/>
      </c>
      <c r="I43" s="104">
        <f>SUM(F43/H43)</f>
        <v/>
      </c>
      <c r="J43" s="105">
        <f>SUM(4*I43)</f>
        <v/>
      </c>
      <c r="K43" s="100">
        <f>SUM(I43*1.5)</f>
        <v/>
      </c>
      <c r="L43" s="101">
        <f>SUM(K43*4)</f>
        <v/>
      </c>
      <c r="M43" s="102">
        <f>SUM(I43*2)</f>
        <v/>
      </c>
      <c r="N43" s="103">
        <f>SUM(M43*4)</f>
        <v/>
      </c>
    </row>
    <row r="44" ht="15.75" customHeight="1">
      <c r="A44" s="35" t="n">
        <v>80</v>
      </c>
      <c r="B44" s="49">
        <f>IF(OR(ISNUMBER(SEARCH("Tequila", C44)), ISNUMBER(SEARCH("Tequila", D44))), "Tequila",
IF(OR(ISNUMBER(SEARCH("Rum", C44)), ISNUMBER(SEARCH("Rum", D44))), "Rum",
IF(OR(ISNUMBER(SEARCH("Whiskey", C44)), ISNUMBER(SEARCH("Whiskey", D44))), "Whiskey",
IF(OR(ISNUMBER(SEARCH("Gin", C44)), ISNUMBER(SEARCH("Gin", D44))), "Gin",
IF(OR(ISNUMBER(SEARCH("Liqueur", C44)), ISNUMBER(SEARCH("Liqueur", D44))), "Liqueur", "")))))</f>
        <v/>
      </c>
      <c r="C44" s="52">
        <f>IF(OR(ISNUMBER( SEARCH("plata",#REF!)), ISNUMBER( SEARCH("blanco",#REF!)), ISNUMBER( SEARCH("silver",#REF!))), "Silver",
 IF(ISNUMBER( SEARCH("gold",#REF!)), "Gold",
 IF(ISNUMBER( SEARCH("reposado",#REF!)), "Reposado",
 IF(AND(ISNUMBER( SEARCH("anejo",#REF!)), NOT(ISNUMBER( SEARCH("extra anejo",#REF!)))), "Anejo",
 IF(ISNUMBER( SEARCH("extra anejo",#REF!)), "Extra Anejo", "")))))</f>
        <v/>
      </c>
      <c r="D44" s="51" t="inlineStr">
        <is>
          <t>Butterfly Cannon Cristalino Tequila (750mL/item) - $32.71 1</t>
        </is>
      </c>
      <c r="E44" s="52" t="n">
        <v>750</v>
      </c>
      <c r="F44" s="51">
        <f>TRIM(MID(D44, FIND("$", D44), FIND(" ", D44, FIND("$", D44)) - FIND("$", D44))
)</f>
        <v/>
      </c>
      <c r="G44" s="53" t="n">
        <v>29.57</v>
      </c>
      <c r="H44" s="54">
        <f>SUM(E44/G44)</f>
        <v/>
      </c>
      <c r="I44" s="104">
        <f>SUM(F44/H44)</f>
        <v/>
      </c>
      <c r="J44" s="105">
        <f>SUM(4*I44)</f>
        <v/>
      </c>
      <c r="K44" s="100">
        <f>SUM(I44*1.5)</f>
        <v/>
      </c>
      <c r="L44" s="101">
        <f>SUM(K44*4)</f>
        <v/>
      </c>
      <c r="M44" s="102">
        <f>SUM(I44*2)</f>
        <v/>
      </c>
      <c r="N44" s="103">
        <f>SUM(M44*4)</f>
        <v/>
      </c>
    </row>
    <row r="45" ht="15.75" customHeight="1">
      <c r="A45" s="35" t="n">
        <v>81</v>
      </c>
      <c r="B45" s="49">
        <f>IF(OR(ISNUMBER(SEARCH("Tequila", C45)), ISNUMBER(SEARCH("Tequila", D45))), "Tequila",
IF(OR(ISNUMBER(SEARCH("Rum", C45)), ISNUMBER(SEARCH("Rum", D45))), "Rum",
IF(OR(ISNUMBER(SEARCH("Whiskey", C45)), ISNUMBER(SEARCH("Whiskey", D45))), "Whiskey",
IF(OR(ISNUMBER(SEARCH("Gin", C45)), ISNUMBER(SEARCH("Gin", D45))), "Gin",
IF(OR(ISNUMBER(SEARCH("Liqueur", C45)), ISNUMBER(SEARCH("Liqueur", D45))), "Liqueur", "")))))</f>
        <v/>
      </c>
      <c r="C45" s="52">
        <f>IF(OR(ISNUMBER( SEARCH("plata",#REF!)), ISNUMBER( SEARCH("blanco",#REF!)), ISNUMBER( SEARCH("silver",#REF!))), "Silver",
 IF(ISNUMBER( SEARCH("gold",#REF!)), "Gold",
 IF(ISNUMBER( SEARCH("reposado",#REF!)), "Reposado",
 IF(AND(ISNUMBER( SEARCH("anejo",#REF!)), NOT(ISNUMBER( SEARCH("extra anejo",#REF!)))), "Anejo",
 IF(ISNUMBER( SEARCH("extra anejo",#REF!)), "Extra Anejo", "")))))</f>
        <v/>
      </c>
      <c r="D45" s="51" t="inlineStr">
        <is>
          <t>Butterfly Cannon Rosa Tequila (750mL/item) - $32.71 1</t>
        </is>
      </c>
      <c r="E45" s="52" t="n">
        <v>750</v>
      </c>
      <c r="F45" s="51">
        <f>TRIM(MID(D45, FIND("$", D45), FIND(" ", D45, FIND("$", D45)) - FIND("$", D45))
)</f>
        <v/>
      </c>
      <c r="G45" s="53" t="n">
        <v>29.57</v>
      </c>
      <c r="H45" s="54">
        <f>SUM(E45/G45)</f>
        <v/>
      </c>
      <c r="I45" s="104">
        <f>SUM(F45/H45)</f>
        <v/>
      </c>
      <c r="J45" s="105">
        <f>SUM(4*I45)</f>
        <v/>
      </c>
      <c r="K45" s="100">
        <f>SUM(I45*1.5)</f>
        <v/>
      </c>
      <c r="L45" s="101">
        <f>SUM(K45*4)</f>
        <v/>
      </c>
      <c r="M45" s="102">
        <f>SUM(I45*2)</f>
        <v/>
      </c>
      <c r="N45" s="103">
        <f>SUM(M45*4)</f>
        <v/>
      </c>
    </row>
    <row r="46" ht="15.75" customHeight="1">
      <c r="A46" s="59" t="n"/>
      <c r="B46" s="49">
        <f>IF(OR(ISNUMBER(SEARCH("Tequila", C46)), ISNUMBER(SEARCH("Tequila", D46))), "Tequila",
IF(OR(ISNUMBER(SEARCH("Rum", C46)), ISNUMBER(SEARCH("Rum", D46))), "Rum",
IF(OR(ISNUMBER(SEARCH("Whiskey", C46)), ISNUMBER(SEARCH("Whiskey", D46))), "Whiskey",
IF(OR(ISNUMBER(SEARCH("Gin", C46)), ISNUMBER(SEARCH("Gin", D46))), "Gin",
IF(OR(ISNUMBER(SEARCH("Liqueur", C46)), ISNUMBER(SEARCH("Liqueur", D46))), "Liqueur", "")))))</f>
        <v/>
      </c>
      <c r="C46" s="52">
        <f>IF(OR(ISNUMBER( SEARCH("plata",#REF!)), ISNUMBER( SEARCH("blanco",#REF!)), ISNUMBER( SEARCH("silver",#REF!))), "Silver",
 IF(ISNUMBER( SEARCH("gold",#REF!)), "Gold",
 IF(ISNUMBER( SEARCH("reposado",#REF!)), "Reposado",
 IF(AND(ISNUMBER( SEARCH("anejo",#REF!)), NOT(ISNUMBER( SEARCH("extra anejo",#REF!)))), "Anejo",
 IF(ISNUMBER( SEARCH("extra anejo",#REF!)), "Extra Anejo", "")))))</f>
        <v/>
      </c>
      <c r="D46" s="60" t="inlineStr">
        <is>
          <t>Calirosa Rosa Blanco Tequila (750mL) $43.47 1</t>
        </is>
      </c>
      <c r="E46" s="52" t="n">
        <v>750</v>
      </c>
      <c r="F46" s="51">
        <f>TRIM(MID(D46, FIND("$", D46), FIND(" ", D46, FIND("$", D46)) - FIND("$", D46))
)</f>
        <v/>
      </c>
      <c r="G46" s="53" t="n">
        <v>29.57</v>
      </c>
      <c r="H46" s="54">
        <f>SUM(E46/G46)</f>
        <v/>
      </c>
      <c r="I46" s="104">
        <f>SUM(F46/H46)</f>
        <v/>
      </c>
      <c r="J46" s="105">
        <f>SUM(4*I46)</f>
        <v/>
      </c>
      <c r="K46" s="100">
        <f>SUM(I46*1.5)</f>
        <v/>
      </c>
      <c r="L46" s="101">
        <f>SUM(K46*4)</f>
        <v/>
      </c>
      <c r="M46" s="102">
        <f>SUM(I46*2)</f>
        <v/>
      </c>
      <c r="N46" s="103">
        <f>SUM(M46*4)</f>
        <v/>
      </c>
    </row>
    <row r="47" ht="15.75" customHeight="1">
      <c r="A47" s="35" t="n">
        <v>82</v>
      </c>
      <c r="B47" s="49">
        <f>IF(OR(ISNUMBER(SEARCH("Tequila", C47)), ISNUMBER(SEARCH("Tequila", D47))), "Tequila",
IF(OR(ISNUMBER(SEARCH("Rum", C47)), ISNUMBER(SEARCH("Rum", D47))), "Rum",
IF(OR(ISNUMBER(SEARCH("Whiskey", C47)), ISNUMBER(SEARCH("Whiskey", D47))), "Whiskey",
IF(OR(ISNUMBER(SEARCH("Gin", C47)), ISNUMBER(SEARCH("Gin", D47))), "Gin",
IF(OR(ISNUMBER(SEARCH("Liqueur", C47)), ISNUMBER(SEARCH("Liqueur", D47))), "Liqueur", "")))))</f>
        <v/>
      </c>
      <c r="C47" s="52">
        <f>IF(OR(ISNUMBER( SEARCH("plata",#REF!)), ISNUMBER( SEARCH("blanco",#REF!)), ISNUMBER( SEARCH("silver",#REF!))), "Silver",
 IF(ISNUMBER( SEARCH("gold",#REF!)), "Gold",
 IF(ISNUMBER( SEARCH("reposado",#REF!)), "Reposado",
 IF(AND(ISNUMBER( SEARCH("anejo",#REF!)), NOT(ISNUMBER( SEARCH("extra anejo",#REF!)))), "Anejo",
 IF(ISNUMBER( SEARCH("extra anejo",#REF!)), "Extra Anejo", "")))))</f>
        <v/>
      </c>
      <c r="D47" s="51" t="inlineStr">
        <is>
          <t>Camarena Anejo Tequila (750mL/item) - $26.36 1</t>
        </is>
      </c>
      <c r="E47" s="52" t="n">
        <v>750</v>
      </c>
      <c r="F47" s="51">
        <f>TRIM(MID(D47, FIND("$", D47), FIND(" ", D47, FIND("$", D47)) - FIND("$", D47))
)</f>
        <v/>
      </c>
      <c r="G47" s="53" t="n">
        <v>29.57</v>
      </c>
      <c r="H47" s="54">
        <f>SUM(E47/G47)</f>
        <v/>
      </c>
      <c r="I47" s="104">
        <f>SUM(F47/H47)</f>
        <v/>
      </c>
      <c r="J47" s="105">
        <f>SUM(4*I47)</f>
        <v/>
      </c>
      <c r="K47" s="100">
        <f>SUM(I47*1.5)</f>
        <v/>
      </c>
      <c r="L47" s="101">
        <f>SUM(K47*4)</f>
        <v/>
      </c>
      <c r="M47" s="102">
        <f>SUM(I47*2)</f>
        <v/>
      </c>
      <c r="N47" s="103">
        <f>SUM(M47*4)</f>
        <v/>
      </c>
    </row>
    <row r="48" ht="15.75" customHeight="1">
      <c r="A48" s="35" t="n">
        <v>83</v>
      </c>
      <c r="B48" s="49">
        <f>IF(OR(ISNUMBER(SEARCH("Tequila", C48)), ISNUMBER(SEARCH("Tequila", D48))), "Tequila",
IF(OR(ISNUMBER(SEARCH("Rum", C48)), ISNUMBER(SEARCH("Rum", D48))), "Rum",
IF(OR(ISNUMBER(SEARCH("Whiskey", C48)), ISNUMBER(SEARCH("Whiskey", D48))), "Whiskey",
IF(OR(ISNUMBER(SEARCH("Gin", C48)), ISNUMBER(SEARCH("Gin", D48))), "Gin",
IF(OR(ISNUMBER(SEARCH("Liqueur", C48)), ISNUMBER(SEARCH("Liqueur", D48))), "Liqueur", "")))))</f>
        <v/>
      </c>
      <c r="C48" s="57">
        <f>IF(OR(ISNUMBER( SEARCH("plata",#REF!)), ISNUMBER( SEARCH("blanco",#REF!)), ISNUMBER( SEARCH("silver",#REF!))), "Silver",
 IF(ISNUMBER( SEARCH("gold",#REF!)), "Gold",
 IF(ISNUMBER( SEARCH("reposado",#REF!)), "Reposado",
 IF(AND(ISNUMBER( SEARCH("anejo",#REF!)), NOT(ISNUMBER( SEARCH("extra anejo",#REF!)))), "Anejo",
 IF(ISNUMBER( SEARCH("extra anejo",#REF!)), "Extra Anejo", "")))))</f>
        <v/>
      </c>
      <c r="D48" s="51" t="inlineStr">
        <is>
          <t>Camarena Reposado Tequila (750mL/item) - $23.06 1</t>
        </is>
      </c>
      <c r="E48" s="52" t="n">
        <v>750</v>
      </c>
      <c r="F48" s="51">
        <f>TRIM(MID(D48, FIND("$", D48), FIND(" ", D48, FIND("$", D48)) - FIND("$", D48))
)</f>
        <v/>
      </c>
      <c r="G48" s="53" t="n">
        <v>29.57</v>
      </c>
      <c r="H48" s="54">
        <f>SUM(E48/G48)</f>
        <v/>
      </c>
      <c r="I48" s="104">
        <f>SUM(F48/H48)</f>
        <v/>
      </c>
      <c r="J48" s="105">
        <f>SUM(4*I48)</f>
        <v/>
      </c>
      <c r="K48" s="100">
        <f>SUM(I48*1.5)</f>
        <v/>
      </c>
      <c r="L48" s="101">
        <f>SUM(K48*4)</f>
        <v/>
      </c>
      <c r="M48" s="102">
        <f>SUM(I48*2)</f>
        <v/>
      </c>
      <c r="N48" s="103">
        <f>SUM(M48*4)</f>
        <v/>
      </c>
    </row>
    <row r="49" ht="15.75" customHeight="1">
      <c r="A49" s="35" t="n">
        <v>84</v>
      </c>
      <c r="B49" s="49">
        <f>IF(OR(ISNUMBER(SEARCH("Tequila", C49)), ISNUMBER(SEARCH("Tequila", D49))), "Tequila",
IF(OR(ISNUMBER(SEARCH("Rum", C49)), ISNUMBER(SEARCH("Rum", D49))), "Rum",
IF(OR(ISNUMBER(SEARCH("Whiskey", C49)), ISNUMBER(SEARCH("Whiskey", D49))), "Whiskey",
IF(OR(ISNUMBER(SEARCH("Gin", C49)), ISNUMBER(SEARCH("Gin", D49))), "Gin",
IF(OR(ISNUMBER(SEARCH("Liqueur", C49)), ISNUMBER(SEARCH("Liqueur", D49))), "Liqueur", "")))))</f>
        <v/>
      </c>
      <c r="C49" s="58">
        <f>IF(OR(ISNUMBER( SEARCH("plata",#REF!)), ISNUMBER( SEARCH("blanco",#REF!)), ISNUMBER( SEARCH("silver",#REF!))), "Silver",
 IF(ISNUMBER( SEARCH("gold",#REF!)), "Gold",
 IF(ISNUMBER( SEARCH("reposado",#REF!)), "Reposado",
 IF(AND(ISNUMBER( SEARCH("anejo",#REF!)), NOT(ISNUMBER( SEARCH("extra anejo",#REF!)))), "Anejo",
 IF(ISNUMBER( SEARCH("extra anejo",#REF!)), "Extra Anejo", "")))))</f>
        <v/>
      </c>
      <c r="D49" s="51" t="inlineStr">
        <is>
          <t>Camarena Silver Tequila (750mL/item) - $23.06 1</t>
        </is>
      </c>
      <c r="E49" s="52" t="n">
        <v>750</v>
      </c>
      <c r="F49" s="51">
        <f>TRIM(MID(D49, FIND("$", D49), FIND(" ", D49, FIND("$", D49)) - FIND("$", D49))
)</f>
        <v/>
      </c>
      <c r="G49" s="53" t="n">
        <v>29.57</v>
      </c>
      <c r="H49" s="54">
        <f>SUM(E49/G49)</f>
        <v/>
      </c>
      <c r="I49" s="104">
        <f>SUM(F49/H49)</f>
        <v/>
      </c>
      <c r="J49" s="105">
        <f>SUM(4*I49)</f>
        <v/>
      </c>
      <c r="K49" s="100">
        <f>SUM(I49*1.5)</f>
        <v/>
      </c>
      <c r="L49" s="101">
        <f>SUM(K49*4)</f>
        <v/>
      </c>
      <c r="M49" s="102">
        <f>SUM(I49*2)</f>
        <v/>
      </c>
      <c r="N49" s="103">
        <f>SUM(M49*4)</f>
        <v/>
      </c>
    </row>
    <row r="50" ht="15.75" customHeight="1">
      <c r="A50" s="35" t="n">
        <v>259</v>
      </c>
      <c r="B50" s="49">
        <f>IF(OR(ISNUMBER(SEARCH("Tequila", C50)), ISNUMBER(SEARCH("Tequila", D50))), "Tequila",
IF(OR(ISNUMBER(SEARCH("Rum", C50)), ISNUMBER(SEARCH("Rum", D50))), "Rum",
IF(OR(ISNUMBER(SEARCH("Whiskey", C50)), ISNUMBER(SEARCH("Whiskey", D50))), "Whiskey",
IF(OR(ISNUMBER(SEARCH("Gin", C50)), ISNUMBER(SEARCH("Gin", D50))), "Gin",
IF(OR(ISNUMBER(SEARCH("Liqueur", C50)), ISNUMBER(SEARCH("Liqueur", D50))), "Liqueur", "")))))</f>
        <v/>
      </c>
      <c r="C50" s="52">
        <f>IF(OR(ISNUMBER( SEARCH("plata",#REF!)), ISNUMBER( SEARCH("blanco",#REF!)), ISNUMBER( SEARCH("silver",#REF!))), "Silver",
 IF(ISNUMBER( SEARCH("gold",#REF!)), "Gold",
 IF(ISNUMBER( SEARCH("reposado",#REF!)), "Reposado",
 IF(AND(ISNUMBER( SEARCH("anejo",#REF!)), NOT(ISNUMBER( SEARCH("extra anejo",#REF!)))), "Anejo",
 IF(ISNUMBER( SEARCH("extra anejo",#REF!)), "Extra Anejo", "")))))</f>
        <v/>
      </c>
      <c r="D50" s="51" t="n"/>
      <c r="E50" s="52" t="n"/>
      <c r="F50" s="51" t="n"/>
      <c r="G50" s="53" t="n"/>
      <c r="H50" s="54" t="n"/>
      <c r="I50" s="104" t="n"/>
      <c r="J50" s="105" t="n"/>
      <c r="K50" s="100" t="n"/>
      <c r="L50" s="101" t="n"/>
      <c r="M50" s="102" t="n"/>
      <c r="N50" s="103" t="n"/>
    </row>
    <row r="51" ht="15.75" customHeight="1">
      <c r="A51" s="35" t="n">
        <v>85</v>
      </c>
      <c r="B51" s="49">
        <f>IF(OR(ISNUMBER(SEARCH("Tequila", C51)), ISNUMBER(SEARCH("Tequila", D51))), "Tequila",
IF(OR(ISNUMBER(SEARCH("Rum", C51)), ISNUMBER(SEARCH("Rum", D51))), "Rum",
IF(OR(ISNUMBER(SEARCH("Whiskey", C51)), ISNUMBER(SEARCH("Whiskey", D51))), "Whiskey",
IF(OR(ISNUMBER(SEARCH("Gin", C51)), ISNUMBER(SEARCH("Gin", D51))), "Gin",
IF(OR(ISNUMBER(SEARCH("Liqueur", C51)), ISNUMBER(SEARCH("Liqueur", D51))), "Liqueur", "")))))</f>
        <v/>
      </c>
      <c r="C51" s="52">
        <f>IF(OR(ISNUMBER( SEARCH("plata",#REF!)), ISNUMBER( SEARCH("blanco",#REF!)), ISNUMBER( SEARCH("silver",#REF!))), "Silver",
 IF(ISNUMBER( SEARCH("gold",#REF!)), "Gold",
 IF(ISNUMBER( SEARCH("reposado",#REF!)), "Reposado",
 IF(AND(ISNUMBER( SEARCH("anejo",#REF!)), NOT(ISNUMBER( SEARCH("extra anejo",#REF!)))), "Anejo",
 IF(ISNUMBER( SEARCH("extra anejo",#REF!)), "Extra Anejo", "")))))</f>
        <v/>
      </c>
      <c r="D51" s="51" t="inlineStr">
        <is>
          <t>Cantera Negra Anejo Tequila (750mL/item) - $55.74 1</t>
        </is>
      </c>
      <c r="E51" s="52" t="n">
        <v>750</v>
      </c>
      <c r="F51" s="51">
        <f>TRIM(MID(D51, FIND("$", D51), FIND(" ", D51, FIND("$", D51)) - FIND("$", D51))
)</f>
        <v/>
      </c>
      <c r="G51" s="53" t="n">
        <v>29.57</v>
      </c>
      <c r="H51" s="54">
        <f>SUM(E51/G51)</f>
        <v/>
      </c>
      <c r="I51" s="104">
        <f>SUM(F51/H51)</f>
        <v/>
      </c>
      <c r="J51" s="105">
        <f>SUM(4*I51)</f>
        <v/>
      </c>
      <c r="K51" s="100">
        <f>SUM(I51*1.5)</f>
        <v/>
      </c>
      <c r="L51" s="101">
        <f>SUM(K51*4)</f>
        <v/>
      </c>
      <c r="M51" s="102">
        <f>SUM(I51*2)</f>
        <v/>
      </c>
      <c r="N51" s="103">
        <f>SUM(M51*4)</f>
        <v/>
      </c>
    </row>
    <row r="52" ht="15.75" customHeight="1">
      <c r="A52" s="35" t="n">
        <v>86</v>
      </c>
      <c r="B52" s="49">
        <f>IF(OR(ISNUMBER(SEARCH("Tequila", C52)), ISNUMBER(SEARCH("Tequila", D52))), "Tequila",
IF(OR(ISNUMBER(SEARCH("Rum", C52)), ISNUMBER(SEARCH("Rum", D52))), "Rum",
IF(OR(ISNUMBER(SEARCH("Whiskey", C52)), ISNUMBER(SEARCH("Whiskey", D52))), "Whiskey",
IF(OR(ISNUMBER(SEARCH("Gin", C52)), ISNUMBER(SEARCH("Gin", D52))), "Gin",
IF(OR(ISNUMBER(SEARCH("Liqueur", C52)), ISNUMBER(SEARCH("Liqueur", D52))), "Liqueur", "")))))</f>
        <v/>
      </c>
      <c r="C52" s="58">
        <f>IF(OR(ISNUMBER( SEARCH("plata",#REF!)), ISNUMBER( SEARCH("blanco",#REF!)), ISNUMBER( SEARCH("silver",#REF!))), "Silver",
 IF(ISNUMBER( SEARCH("gold",#REF!)), "Gold",
 IF(ISNUMBER( SEARCH("reposado",#REF!)), "Reposado",
 IF(AND(ISNUMBER( SEARCH("anejo",#REF!)), NOT(ISNUMBER( SEARCH("extra anejo",#REF!)))), "Anejo",
 IF(ISNUMBER( SEARCH("extra anejo",#REF!)), "Extra Anejo", "")))))</f>
        <v/>
      </c>
      <c r="D52" s="51" t="inlineStr">
        <is>
          <t>Cantera Negra Blanco Tequila (750mL/item) - $43.48 1</t>
        </is>
      </c>
      <c r="E52" s="52" t="n">
        <v>750</v>
      </c>
      <c r="F52" s="51">
        <f>TRIM(MID(D52, FIND("$", D52), FIND(" ", D52, FIND("$", D52)) - FIND("$", D52))
)</f>
        <v/>
      </c>
      <c r="G52" s="53" t="n">
        <v>29.57</v>
      </c>
      <c r="H52" s="54">
        <f>SUM(E52/G52)</f>
        <v/>
      </c>
      <c r="I52" s="104">
        <f>SUM(F52/H52)</f>
        <v/>
      </c>
      <c r="J52" s="105">
        <f>SUM(4*I52)</f>
        <v/>
      </c>
      <c r="K52" s="100">
        <f>SUM(I52*1.5)</f>
        <v/>
      </c>
      <c r="L52" s="101">
        <f>SUM(K52*4)</f>
        <v/>
      </c>
      <c r="M52" s="102">
        <f>SUM(I52*2)</f>
        <v/>
      </c>
      <c r="N52" s="103">
        <f>SUM(M52*4)</f>
        <v/>
      </c>
    </row>
    <row r="53" ht="15.75" customHeight="1">
      <c r="A53" s="35" t="n">
        <v>293</v>
      </c>
      <c r="B53" s="49">
        <f>IF(OR(ISNUMBER(SEARCH("Tequila", C53)), ISNUMBER(SEARCH("Tequila", D53))), "Tequila",
IF(OR(ISNUMBER(SEARCH("Rum", C53)), ISNUMBER(SEARCH("Rum", D53))), "Rum",
IF(OR(ISNUMBER(SEARCH("Whiskey", C53)), ISNUMBER(SEARCH("Whiskey", D53))), "Whiskey",
IF(OR(ISNUMBER(SEARCH("Gin", C53)), ISNUMBER(SEARCH("Gin", D53))), "Gin",
IF(OR(ISNUMBER(SEARCH("Liqueur", C53)), ISNUMBER(SEARCH("Liqueur", D53))), "Liqueur", "")))))</f>
        <v/>
      </c>
      <c r="C53" s="50">
        <f>IF(OR(ISNUMBER( SEARCH("plata",#REF!)), ISNUMBER( SEARCH("blanco",#REF!)), ISNUMBER( SEARCH("silver",#REF!))), "Silver",
 IF(ISNUMBER( SEARCH("gold",#REF!)), "Gold",
 IF(ISNUMBER( SEARCH("reposado",#REF!)), "Reposado",
 IF(AND(ISNUMBER( SEARCH("anejo",#REF!)), NOT(ISNUMBER( SEARCH("extra anejo",#REF!)))), "Anejo",
 IF(ISNUMBER( SEARCH("extra anejo",#REF!)), "Extra Anejo", "")))))</f>
        <v/>
      </c>
      <c r="D53" s="51" t="inlineStr">
        <is>
          <t>Cantera Negra Extra Anejo Tequila (750mL/item) - $90.38 6</t>
        </is>
      </c>
      <c r="E53" s="52" t="n">
        <v>750</v>
      </c>
      <c r="F53" s="51">
        <f>TRIM(MID(D53, FIND("$", D53), FIND(" ", D53, FIND("$", D53)) - FIND("$", D53))
)</f>
        <v/>
      </c>
      <c r="G53" s="53" t="n">
        <v>29.57</v>
      </c>
      <c r="H53" s="54">
        <f>SUM(E53/G53)</f>
        <v/>
      </c>
      <c r="I53" s="104">
        <f>SUM(F53/H53)</f>
        <v/>
      </c>
      <c r="J53" s="105">
        <f>SUM(4*I53)</f>
        <v/>
      </c>
      <c r="K53" s="100">
        <f>SUM(I53*1.5)</f>
        <v/>
      </c>
      <c r="L53" s="101">
        <f>SUM(K53*4)</f>
        <v/>
      </c>
      <c r="M53" s="102">
        <f>SUM(I53*2)</f>
        <v/>
      </c>
      <c r="N53" s="103">
        <f>SUM(M53*4)</f>
        <v/>
      </c>
    </row>
    <row r="54" ht="15.75" customHeight="1">
      <c r="A54" s="35" t="n">
        <v>87</v>
      </c>
      <c r="B54" s="49">
        <f>IF(OR(ISNUMBER(SEARCH("Tequila", C54)), ISNUMBER(SEARCH("Tequila", D54))), "Tequila",
IF(OR(ISNUMBER(SEARCH("Rum", C54)), ISNUMBER(SEARCH("Rum", D54))), "Rum",
IF(OR(ISNUMBER(SEARCH("Whiskey", C54)), ISNUMBER(SEARCH("Whiskey", D54))), "Whiskey",
IF(OR(ISNUMBER(SEARCH("Gin", C54)), ISNUMBER(SEARCH("Gin", D54))), "Gin",
IF(OR(ISNUMBER(SEARCH("Liqueur", C54)), ISNUMBER(SEARCH("Liqueur", D54))), "Liqueur", "")))))</f>
        <v/>
      </c>
      <c r="C54" s="57">
        <f>IF(OR(ISNUMBER( SEARCH("plata",#REF!)), ISNUMBER( SEARCH("blanco",#REF!)), ISNUMBER( SEARCH("silver",#REF!))), "Silver",
 IF(ISNUMBER( SEARCH("gold",#REF!)), "Gold",
 IF(ISNUMBER( SEARCH("reposado",#REF!)), "Reposado",
 IF(AND(ISNUMBER( SEARCH("anejo",#REF!)), NOT(ISNUMBER( SEARCH("extra anejo",#REF!)))), "Anejo",
 IF(ISNUMBER( SEARCH("extra anejo",#REF!)), "Extra Anejo", "")))))</f>
        <v/>
      </c>
      <c r="D54" s="51" t="inlineStr">
        <is>
          <t>Cantera Negra Reposado Tequila (750mL/item) - $50.02 1</t>
        </is>
      </c>
      <c r="E54" s="52" t="n">
        <v>750</v>
      </c>
      <c r="F54" s="51">
        <f>TRIM(MID(D54, FIND("$", D54), FIND(" ", D54, FIND("$", D54)) - FIND("$", D54))
)</f>
        <v/>
      </c>
      <c r="G54" s="53" t="n">
        <v>29.57</v>
      </c>
      <c r="H54" s="54">
        <f>SUM(E54/G54)</f>
        <v/>
      </c>
      <c r="I54" s="104">
        <f>SUM(F54/H54)</f>
        <v/>
      </c>
      <c r="J54" s="105">
        <f>SUM(4*I54)</f>
        <v/>
      </c>
      <c r="K54" s="100">
        <f>SUM(I54*1.5)</f>
        <v/>
      </c>
      <c r="L54" s="101">
        <f>SUM(K54*4)</f>
        <v/>
      </c>
      <c r="M54" s="102">
        <f>SUM(I54*2)</f>
        <v/>
      </c>
      <c r="N54" s="103">
        <f>SUM(M54*4)</f>
        <v/>
      </c>
    </row>
    <row r="55" ht="15.75" customHeight="1">
      <c r="A55" s="35" t="n">
        <v>34</v>
      </c>
      <c r="B55" s="49">
        <f>IF(OR(ISNUMBER(SEARCH("Tequila", C55)), ISNUMBER(SEARCH("Tequila", D55))), "Tequila",
IF(OR(ISNUMBER(SEARCH("Rum", C55)), ISNUMBER(SEARCH("Rum", D55))), "Rum",
IF(OR(ISNUMBER(SEARCH("Whiskey", C55)), ISNUMBER(SEARCH("Whiskey", D55))), "Whiskey",
IF(OR(ISNUMBER(SEARCH("Gin", C55)), ISNUMBER(SEARCH("Gin", D55))), "Gin",
IF(OR(ISNUMBER(SEARCH("Liqueur", C55)), ISNUMBER(SEARCH("Liqueur", D55))), "Liqueur", "")))))</f>
        <v/>
      </c>
      <c r="C55" s="52">
        <f>IF(OR(ISNUMBER(SEARCH("plata", D55)), ISNUMBER(SEARCH("blanco", D55)), ISNUMBER(SEARCH("silver", D55))), "Silver",
 IF(ISNUMBER(SEARCH("gold", D55)), "Gold",
 IF(ISNUMBER(SEARCH("reposado", D55)), "Reposado",
 IF(ISNUMBER(SEARCH("anejo", D55)), "Anejo",
 IF(ISNUMBER(SEARCH("extra anejo", D55)), "Extra Anejo", "")))))</f>
        <v/>
      </c>
      <c r="D55" s="51" t="inlineStr">
        <is>
          <t>Captain Morgan Spiced Rum (750mL / item)  $16.52 2</t>
        </is>
      </c>
      <c r="E55" s="52" t="n">
        <v>750</v>
      </c>
      <c r="F55" s="51">
        <f>TRIM(MID(D55, FIND("$", D55), FIND(" ", D55, FIND("$", D55)) - FIND("$", D55))
)</f>
        <v/>
      </c>
      <c r="G55" s="53" t="n">
        <v>29.57</v>
      </c>
      <c r="H55" s="54">
        <f>SUM(E55/G55)</f>
        <v/>
      </c>
      <c r="I55" s="104">
        <f>SUM(F55/H55)</f>
        <v/>
      </c>
      <c r="J55" s="105">
        <f>SUM(4*I55)</f>
        <v/>
      </c>
      <c r="K55" s="100">
        <f>SUM(I55*1.5)</f>
        <v/>
      </c>
      <c r="L55" s="101">
        <f>SUM(K55*4)</f>
        <v/>
      </c>
      <c r="M55" s="102">
        <f>SUM(I55*2)</f>
        <v/>
      </c>
      <c r="N55" s="103">
        <f>SUM(M55*4)</f>
        <v/>
      </c>
    </row>
    <row r="56" ht="15.75" customHeight="1">
      <c r="A56" s="35" t="n">
        <v>260</v>
      </c>
      <c r="B56" s="49">
        <f>IF(OR(ISNUMBER(SEARCH("Tequila", C56)), ISNUMBER(SEARCH("Tequila", D56))), "Tequila",
IF(OR(ISNUMBER(SEARCH("Rum", C56)), ISNUMBER(SEARCH("Rum", D56))), "Rum",
IF(OR(ISNUMBER(SEARCH("Whiskey", C56)), ISNUMBER(SEARCH("Whiskey", D56))), "Whiskey",
IF(OR(ISNUMBER(SEARCH("Gin", C56)), ISNUMBER(SEARCH("Gin", D56))), "Gin",
IF(OR(ISNUMBER(SEARCH("Liqueur", C56)), ISNUMBER(SEARCH("Liqueur", D56))), "Liqueur", "")))))</f>
        <v/>
      </c>
      <c r="C56" s="52">
        <f>IF(OR(ISNUMBER( SEARCH("plata",#REF!)), ISNUMBER( SEARCH("blanco",#REF!)), ISNUMBER( SEARCH("silver",#REF!))), "Silver",
 IF(ISNUMBER( SEARCH("gold",#REF!)), "Gold",
 IF(ISNUMBER( SEARCH("reposado",#REF!)), "Reposado",
 IF(AND(ISNUMBER( SEARCH("anejo",#REF!)), NOT(ISNUMBER( SEARCH("extra anejo",#REF!)))), "Anejo",
 IF(ISNUMBER( SEARCH("extra anejo",#REF!)), "Extra Anejo", "")))))</f>
        <v/>
      </c>
      <c r="D56" s="51" t="n"/>
      <c r="E56" s="52" t="n"/>
      <c r="F56" s="51" t="n"/>
      <c r="G56" s="53" t="n"/>
      <c r="H56" s="54" t="n"/>
      <c r="I56" s="104" t="n"/>
      <c r="J56" s="105" t="n"/>
      <c r="K56" s="100" t="n"/>
      <c r="L56" s="101" t="n"/>
      <c r="M56" s="102" t="n"/>
      <c r="N56" s="103" t="n"/>
    </row>
    <row r="57" ht="15.75" customHeight="1">
      <c r="A57" s="35" t="n">
        <v>261</v>
      </c>
      <c r="B57" s="49">
        <f>IF(OR(ISNUMBER(SEARCH("Tequila", C57)), ISNUMBER(SEARCH("Tequila", D57))), "Tequila",
IF(OR(ISNUMBER(SEARCH("Rum", C57)), ISNUMBER(SEARCH("Rum", D57))), "Rum",
IF(OR(ISNUMBER(SEARCH("Whiskey", C57)), ISNUMBER(SEARCH("Whiskey", D57))), "Whiskey",
IF(OR(ISNUMBER(SEARCH("Gin", C57)), ISNUMBER(SEARCH("Gin", D57))), "Gin",
IF(OR(ISNUMBER(SEARCH("Liqueur", C57)), ISNUMBER(SEARCH("Liqueur", D57))), "Liqueur", "")))))</f>
        <v/>
      </c>
      <c r="C57" s="52">
        <f>IF(OR(ISNUMBER( SEARCH("plata",#REF!)), ISNUMBER( SEARCH("blanco",#REF!)), ISNUMBER( SEARCH("silver",#REF!))), "Silver",
 IF(ISNUMBER( SEARCH("gold",#REF!)), "Gold",
 IF(ISNUMBER( SEARCH("reposado",#REF!)), "Reposado",
 IF(AND(ISNUMBER( SEARCH("anejo",#REF!)), NOT(ISNUMBER( SEARCH("extra anejo",#REF!)))), "Anejo",
 IF(ISNUMBER( SEARCH("extra anejo",#REF!)), "Extra Anejo", "")))))</f>
        <v/>
      </c>
      <c r="D57" s="51" t="n"/>
      <c r="E57" s="52" t="n"/>
      <c r="F57" s="51" t="n"/>
      <c r="G57" s="53" t="n"/>
      <c r="H57" s="54" t="n"/>
      <c r="I57" s="104" t="n"/>
      <c r="J57" s="105" t="n"/>
      <c r="K57" s="100" t="n"/>
      <c r="L57" s="101" t="n"/>
      <c r="M57" s="102" t="n"/>
      <c r="N57" s="103" t="n"/>
    </row>
    <row r="58" ht="15.75" customHeight="1">
      <c r="A58" s="35" t="n">
        <v>88</v>
      </c>
      <c r="B58" s="49">
        <f>IF(OR(ISNUMBER(SEARCH("Tequila", C58)), ISNUMBER(SEARCH("Tequila", D58))), "Tequila",
IF(OR(ISNUMBER(SEARCH("Rum", C58)), ISNUMBER(SEARCH("Rum", D58))), "Rum",
IF(OR(ISNUMBER(SEARCH("Whiskey", C58)), ISNUMBER(SEARCH("Whiskey", D58))), "Whiskey",
IF(OR(ISNUMBER(SEARCH("Gin", C58)), ISNUMBER(SEARCH("Gin", D58))), "Gin",
IF(OR(ISNUMBER(SEARCH("Liqueur", C58)), ISNUMBER(SEARCH("Liqueur", D58))), "Liqueur", "")))))</f>
        <v/>
      </c>
      <c r="C58" s="52">
        <f>IF(OR(ISNUMBER( SEARCH("plata",#REF!)), ISNUMBER( SEARCH("blanco",#REF!)), ISNUMBER( SEARCH("silver",#REF!))), "Silver",
 IF(ISNUMBER( SEARCH("gold",#REF!)), "Gold",
 IF(ISNUMBER( SEARCH("reposado",#REF!)), "Reposado",
 IF(AND(ISNUMBER( SEARCH("anejo",#REF!)), NOT(ISNUMBER( SEARCH("extra anejo",#REF!)))), "Anejo",
 IF(ISNUMBER( SEARCH("extra anejo",#REF!)), "Extra Anejo", "")))))</f>
        <v/>
      </c>
      <c r="D58" s="51" t="inlineStr">
        <is>
          <t>Casa Noble Anejo Tequila (750ML/item) - $47.57 2</t>
        </is>
      </c>
      <c r="E58" s="52" t="n">
        <v>750</v>
      </c>
      <c r="F58" s="51">
        <f>TRIM(MID(D58, FIND("$", D58), FIND(" ", D58, FIND("$", D58)) - FIND("$", D58))
)</f>
        <v/>
      </c>
      <c r="G58" s="53" t="n">
        <v>29.57</v>
      </c>
      <c r="H58" s="54">
        <f>SUM(E58/G58)</f>
        <v/>
      </c>
      <c r="I58" s="104">
        <f>SUM(F58/H58)</f>
        <v/>
      </c>
      <c r="J58" s="105">
        <f>SUM(4*I58)</f>
        <v/>
      </c>
      <c r="K58" s="100">
        <f>SUM(I58*1.5)</f>
        <v/>
      </c>
      <c r="L58" s="101">
        <f>SUM(K58*4)</f>
        <v/>
      </c>
      <c r="M58" s="102">
        <f>SUM(I58*2)</f>
        <v/>
      </c>
      <c r="N58" s="103">
        <f>SUM(M58*4)</f>
        <v/>
      </c>
    </row>
    <row r="59" ht="15.75" customHeight="1">
      <c r="A59" s="35" t="n">
        <v>89</v>
      </c>
      <c r="B59" s="49">
        <f>IF(OR(ISNUMBER(SEARCH("Tequila", C59)), ISNUMBER(SEARCH("Tequila", D59))), "Tequila",
IF(OR(ISNUMBER(SEARCH("Rum", C59)), ISNUMBER(SEARCH("Rum", D59))), "Rum",
IF(OR(ISNUMBER(SEARCH("Whiskey", C59)), ISNUMBER(SEARCH("Whiskey", D59))), "Whiskey",
IF(OR(ISNUMBER(SEARCH("Gin", C59)), ISNUMBER(SEARCH("Gin", D59))), "Gin",
IF(OR(ISNUMBER(SEARCH("Liqueur", C59)), ISNUMBER(SEARCH("Liqueur", D59))), "Liqueur", "")))))</f>
        <v/>
      </c>
      <c r="C59" s="58">
        <f>IF(OR(ISNUMBER( SEARCH("plata",#REF!)), ISNUMBER( SEARCH("blanco",#REF!)), ISNUMBER( SEARCH("silver",#REF!))), "Silver",
 IF(ISNUMBER( SEARCH("gold",#REF!)), "Gold",
 IF(ISNUMBER( SEARCH("reposado",#REF!)), "Reposado",
 IF(AND(ISNUMBER( SEARCH("anejo",#REF!)), NOT(ISNUMBER( SEARCH("extra anejo",#REF!)))), "Anejo",
 IF(ISNUMBER( SEARCH("extra anejo",#REF!)), "Extra Anejo", "")))))</f>
        <v/>
      </c>
      <c r="D59" s="51" t="inlineStr">
        <is>
          <t>Casa Noble Blanco Tequila (750mL/item) - $37.76 2</t>
        </is>
      </c>
      <c r="E59" s="52" t="n">
        <v>750</v>
      </c>
      <c r="F59" s="51">
        <f>TRIM(MID(D59, FIND("$", D59), FIND(" ", D59, FIND("$", D59)) - FIND("$", D59))
)</f>
        <v/>
      </c>
      <c r="G59" s="53" t="n">
        <v>29.57</v>
      </c>
      <c r="H59" s="54">
        <f>SUM(E59/G59)</f>
        <v/>
      </c>
      <c r="I59" s="104">
        <f>SUM(F59/H59)</f>
        <v/>
      </c>
      <c r="J59" s="105">
        <f>SUM(4*I59)</f>
        <v/>
      </c>
      <c r="K59" s="100">
        <f>SUM(I59*1.5)</f>
        <v/>
      </c>
      <c r="L59" s="101">
        <f>SUM(K59*4)</f>
        <v/>
      </c>
      <c r="M59" s="102">
        <f>SUM(I59*2)</f>
        <v/>
      </c>
      <c r="N59" s="103">
        <f>SUM(M59*4)</f>
        <v/>
      </c>
    </row>
    <row r="60" ht="15.75" customHeight="1">
      <c r="A60" s="35" t="n">
        <v>90</v>
      </c>
      <c r="B60" s="49">
        <f>IF(OR(ISNUMBER(SEARCH("Tequila", C60)), ISNUMBER(SEARCH("Tequila", D60))), "Tequila",
IF(OR(ISNUMBER(SEARCH("Rum", C60)), ISNUMBER(SEARCH("Rum", D60))), "Rum",
IF(OR(ISNUMBER(SEARCH("Whiskey", C60)), ISNUMBER(SEARCH("Whiskey", D60))), "Whiskey",
IF(OR(ISNUMBER(SEARCH("Gin", C60)), ISNUMBER(SEARCH("Gin", D60))), "Gin",
IF(OR(ISNUMBER(SEARCH("Liqueur", C60)), ISNUMBER(SEARCH("Liqueur", D60))), "Liqueur", "")))))</f>
        <v/>
      </c>
      <c r="C60" s="57">
        <f>IF(OR(ISNUMBER( SEARCH("plata",#REF!)), ISNUMBER( SEARCH("blanco",#REF!)), ISNUMBER( SEARCH("silver",#REF!))), "Silver",
 IF(ISNUMBER( SEARCH("gold",#REF!)), "Gold",
 IF(ISNUMBER( SEARCH("reposado",#REF!)), "Reposado",
 IF(AND(ISNUMBER( SEARCH("anejo",#REF!)), NOT(ISNUMBER( SEARCH("extra anejo",#REF!)))), "Anejo",
 IF(ISNUMBER( SEARCH("extra anejo",#REF!)), "Extra Anejo", "")))))</f>
        <v/>
      </c>
      <c r="D60" s="51" t="inlineStr">
        <is>
          <t>Casa Noble Reposado Tequila (750mL/item) - $43.47 2</t>
        </is>
      </c>
      <c r="E60" s="52" t="n">
        <v>750</v>
      </c>
      <c r="F60" s="51">
        <f>TRIM(MID(D60, FIND("$", D60), FIND(" ", D60, FIND("$", D60)) - FIND("$", D60))
)</f>
        <v/>
      </c>
      <c r="G60" s="53" t="n">
        <v>29.57</v>
      </c>
      <c r="H60" s="54">
        <f>SUM(E60/G60)</f>
        <v/>
      </c>
      <c r="I60" s="104">
        <f>SUM(F60/H60)</f>
        <v/>
      </c>
      <c r="J60" s="105">
        <f>SUM(4*I60)</f>
        <v/>
      </c>
      <c r="K60" s="100">
        <f>SUM(I60*1.5)</f>
        <v/>
      </c>
      <c r="L60" s="101">
        <f>SUM(K60*4)</f>
        <v/>
      </c>
      <c r="M60" s="102">
        <f>SUM(I60*2)</f>
        <v/>
      </c>
      <c r="N60" s="103">
        <f>SUM(M60*4)</f>
        <v/>
      </c>
    </row>
    <row r="61" ht="15.75" customHeight="1">
      <c r="A61" s="35" t="n">
        <v>91</v>
      </c>
      <c r="B61" s="49">
        <f>IF(OR(ISNUMBER(SEARCH("Tequila", C61)), ISNUMBER(SEARCH("Tequila", D61))), "Tequila",
IF(OR(ISNUMBER(SEARCH("Rum", C61)), ISNUMBER(SEARCH("Rum", D61))), "Rum",
IF(OR(ISNUMBER(SEARCH("Whiskey", C61)), ISNUMBER(SEARCH("Whiskey", D61))), "Whiskey",
IF(OR(ISNUMBER(SEARCH("Gin", C61)), ISNUMBER(SEARCH("Gin", D61))), "Gin",
IF(OR(ISNUMBER(SEARCH("Liqueur", C61)), ISNUMBER(SEARCH("Liqueur", D61))), "Liqueur", "")))))</f>
        <v/>
      </c>
      <c r="C61" s="52">
        <f>IF(OR(ISNUMBER( SEARCH("plata",#REF!)), ISNUMBER( SEARCH("blanco",#REF!)), ISNUMBER( SEARCH("silver",#REF!))), "Silver",
 IF(ISNUMBER( SEARCH("gold",#REF!)), "Gold",
 IF(ISNUMBER( SEARCH("reposado",#REF!)), "Reposado",
 IF(AND(ISNUMBER( SEARCH("anejo",#REF!)), NOT(ISNUMBER( SEARCH("extra anejo",#REF!)))), "Anejo",
 IF(ISNUMBER( SEARCH("extra anejo",#REF!)), "Extra Anejo", "")))))</f>
        <v/>
      </c>
      <c r="D61" s="51" t="inlineStr">
        <is>
          <t>Casamigos Anejo Tequila (750mL/item) - $55.73 2</t>
        </is>
      </c>
      <c r="E61" s="52" t="n">
        <v>750</v>
      </c>
      <c r="F61" s="51">
        <f>TRIM(MID(D61, FIND("$", D61), FIND(" ", D61, FIND("$", D61)) - FIND("$", D61))
)</f>
        <v/>
      </c>
      <c r="G61" s="53" t="n">
        <v>29.57</v>
      </c>
      <c r="H61" s="54">
        <f>SUM(E61/G61)</f>
        <v/>
      </c>
      <c r="I61" s="104">
        <f>SUM(F61/H61)</f>
        <v/>
      </c>
      <c r="J61" s="105">
        <f>SUM(4*I61)</f>
        <v/>
      </c>
      <c r="K61" s="100">
        <f>SUM(I61*1.5)</f>
        <v/>
      </c>
      <c r="L61" s="101">
        <f>SUM(K61*4)</f>
        <v/>
      </c>
      <c r="M61" s="102">
        <f>SUM(I61*2)</f>
        <v/>
      </c>
      <c r="N61" s="103">
        <f>SUM(M61*4)</f>
        <v/>
      </c>
    </row>
    <row r="62" ht="15.75" customHeight="1">
      <c r="A62" s="35" t="n">
        <v>92</v>
      </c>
      <c r="B62" s="49">
        <f>IF(OR(ISNUMBER(SEARCH("Tequila", C62)), ISNUMBER(SEARCH("Tequila", D62))), "Tequila",
IF(OR(ISNUMBER(SEARCH("Rum", C62)), ISNUMBER(SEARCH("Rum", D62))), "Rum",
IF(OR(ISNUMBER(SEARCH("Whiskey", C62)), ISNUMBER(SEARCH("Whiskey", D62))), "Whiskey",
IF(OR(ISNUMBER(SEARCH("Gin", C62)), ISNUMBER(SEARCH("Gin", D62))), "Gin",
IF(OR(ISNUMBER(SEARCH("Liqueur", C62)), ISNUMBER(SEARCH("Liqueur", D62))), "Liqueur", "")))))</f>
        <v/>
      </c>
      <c r="C62" s="58">
        <f>IF(OR(ISNUMBER( SEARCH("plata",#REF!)), ISNUMBER( SEARCH("blanco",#REF!)), ISNUMBER( SEARCH("silver",#REF!))), "Silver",
 IF(ISNUMBER( SEARCH("gold",#REF!)), "Gold",
 IF(ISNUMBER( SEARCH("reposado",#REF!)), "Reposado",
 IF(AND(ISNUMBER( SEARCH("anejo",#REF!)), NOT(ISNUMBER( SEARCH("extra anejo",#REF!)))), "Anejo",
 IF(ISNUMBER( SEARCH("extra anejo",#REF!)), "Extra Anejo", "")))))</f>
        <v/>
      </c>
      <c r="D62" s="51" t="inlineStr">
        <is>
          <t>Casamigos Blanco Tequila (750mL/item) - $47.55 2</t>
        </is>
      </c>
      <c r="E62" s="52" t="n">
        <v>750</v>
      </c>
      <c r="F62" s="51">
        <f>TRIM(MID(D62, FIND("$", D62), FIND(" ", D62, FIND("$", D62)) - FIND("$", D62))
)</f>
        <v/>
      </c>
      <c r="G62" s="53" t="n">
        <v>29.57</v>
      </c>
      <c r="H62" s="54">
        <f>SUM(E62/G62)</f>
        <v/>
      </c>
      <c r="I62" s="104">
        <f>SUM(F62/H62)</f>
        <v/>
      </c>
      <c r="J62" s="105">
        <f>SUM(4*I62)</f>
        <v/>
      </c>
      <c r="K62" s="100">
        <f>SUM(I62*1.5)</f>
        <v/>
      </c>
      <c r="L62" s="101">
        <f>SUM(K62*4)</f>
        <v/>
      </c>
      <c r="M62" s="102">
        <f>SUM(I62*2)</f>
        <v/>
      </c>
      <c r="N62" s="103">
        <f>SUM(M62*4)</f>
        <v/>
      </c>
    </row>
    <row r="63" ht="15.75" customHeight="1">
      <c r="A63" s="35" t="n">
        <v>93</v>
      </c>
      <c r="B63" s="49">
        <f>IF(OR(ISNUMBER(SEARCH("Tequila", C63)), ISNUMBER(SEARCH("Tequila", D63))), "Tequila",
IF(OR(ISNUMBER(SEARCH("Rum", C63)), ISNUMBER(SEARCH("Rum", D63))), "Rum",
IF(OR(ISNUMBER(SEARCH("Whiskey", C63)), ISNUMBER(SEARCH("Whiskey", D63))), "Whiskey",
IF(OR(ISNUMBER(SEARCH("Gin", C63)), ISNUMBER(SEARCH("Gin", D63))), "Gin",
IF(OR(ISNUMBER(SEARCH("Liqueur", C63)), ISNUMBER(SEARCH("Liqueur", D63))), "Liqueur", "")))))</f>
        <v/>
      </c>
      <c r="C63" s="57">
        <f>IF(OR(ISNUMBER( SEARCH("plata",#REF!)), ISNUMBER( SEARCH("blanco",#REF!)), ISNUMBER( SEARCH("silver",#REF!))), "Silver",
 IF(ISNUMBER( SEARCH("gold",#REF!)), "Gold",
 IF(ISNUMBER( SEARCH("reposado",#REF!)), "Reposado",
 IF(AND(ISNUMBER( SEARCH("anejo",#REF!)), NOT(ISNUMBER( SEARCH("extra anejo",#REF!)))), "Anejo",
 IF(ISNUMBER( SEARCH("extra anejo",#REF!)), "Extra Anejo", "")))))</f>
        <v/>
      </c>
      <c r="D63" s="51" t="inlineStr">
        <is>
          <t>Casamigos Cristalino Reposado Tequila (750ML/item) - $55.73 1</t>
        </is>
      </c>
      <c r="E63" s="52" t="n">
        <v>750</v>
      </c>
      <c r="F63" s="51">
        <f>TRIM(MID(D63, FIND("$", D63), FIND(" ", D63, FIND("$", D63)) - FIND("$", D63))
)</f>
        <v/>
      </c>
      <c r="G63" s="53" t="n">
        <v>29.57</v>
      </c>
      <c r="H63" s="54">
        <f>SUM(E63/G63)</f>
        <v/>
      </c>
      <c r="I63" s="104">
        <f>SUM(F63/H63)</f>
        <v/>
      </c>
      <c r="J63" s="105">
        <f>SUM(4*I63)</f>
        <v/>
      </c>
      <c r="K63" s="100">
        <f>SUM(I63*1.5)</f>
        <v/>
      </c>
      <c r="L63" s="101">
        <f>SUM(K63*4)</f>
        <v/>
      </c>
      <c r="M63" s="102">
        <f>SUM(I63*2)</f>
        <v/>
      </c>
      <c r="N63" s="103">
        <f>SUM(M63*4)</f>
        <v/>
      </c>
    </row>
    <row r="64" ht="15.75" customHeight="1">
      <c r="A64" s="35" t="n">
        <v>94</v>
      </c>
      <c r="B64" s="49">
        <f>IF(OR(ISNUMBER(SEARCH("Tequila", C64)), ISNUMBER(SEARCH("Tequila", D64))), "Tequila",
IF(OR(ISNUMBER(SEARCH("Rum", C64)), ISNUMBER(SEARCH("Rum", D64))), "Rum",
IF(OR(ISNUMBER(SEARCH("Whiskey", C64)), ISNUMBER(SEARCH("Whiskey", D64))), "Whiskey",
IF(OR(ISNUMBER(SEARCH("Gin", C64)), ISNUMBER(SEARCH("Gin", D64))), "Gin",
IF(OR(ISNUMBER(SEARCH("Liqueur", C64)), ISNUMBER(SEARCH("Liqueur", D64))), "Liqueur", "")))))</f>
        <v/>
      </c>
      <c r="C64" s="57">
        <f>IF(OR(ISNUMBER( SEARCH("plata",#REF!)), ISNUMBER( SEARCH("blanco",#REF!)), ISNUMBER( SEARCH("silver",#REF!))), "Silver",
 IF(ISNUMBER( SEARCH("gold",#REF!)), "Gold",
 IF(ISNUMBER( SEARCH("reposado",#REF!)), "Reposado",
 IF(AND(ISNUMBER( SEARCH("anejo",#REF!)), NOT(ISNUMBER( SEARCH("extra anejo",#REF!)))), "Anejo",
 IF(ISNUMBER( SEARCH("extra anejo",#REF!)), "Extra Anejo", "")))))</f>
        <v/>
      </c>
      <c r="D64" s="51" t="inlineStr">
        <is>
          <t>Casamigos Reposado Tequila (750mL/item) - $49.19 2</t>
        </is>
      </c>
      <c r="E64" s="52" t="n">
        <v>750</v>
      </c>
      <c r="F64" s="51">
        <f>TRIM(MID(D64, FIND("$", D64), FIND(" ", D64, FIND("$", D64)) - FIND("$", D64))
)</f>
        <v/>
      </c>
      <c r="G64" s="53" t="n">
        <v>29.57</v>
      </c>
      <c r="H64" s="54">
        <f>SUM(E64/G64)</f>
        <v/>
      </c>
      <c r="I64" s="104">
        <f>SUM(F64/H64)</f>
        <v/>
      </c>
      <c r="J64" s="105">
        <f>SUM(4*I64)</f>
        <v/>
      </c>
      <c r="K64" s="100">
        <f>SUM(I64*1.5)</f>
        <v/>
      </c>
      <c r="L64" s="101">
        <f>SUM(K64*4)</f>
        <v/>
      </c>
      <c r="M64" s="102">
        <f>SUM(I64*2)</f>
        <v/>
      </c>
      <c r="N64" s="103">
        <f>SUM(M64*4)</f>
        <v/>
      </c>
    </row>
    <row r="65" ht="15.75" customHeight="1">
      <c r="A65" s="35" t="n">
        <v>51</v>
      </c>
      <c r="B65" s="49">
        <f>IF(OR(ISNUMBER(SEARCH("Tequila", C65)), ISNUMBER(SEARCH("Tequila", D65))), "Tequila",
IF(OR(ISNUMBER(SEARCH("Rum", C65)), ISNUMBER(SEARCH("Rum", D65))), "Rum",
IF(OR(ISNUMBER(SEARCH("Whiskey", C65)), ISNUMBER(SEARCH("Whiskey", D65))), "Whiskey",
IF(OR(ISNUMBER(SEARCH("Gin", C65)), ISNUMBER(SEARCH("Gin", D65))), "Gin",
IF(OR(ISNUMBER(SEARCH("Liqueur", C65)), ISNUMBER(SEARCH("Liqueur", D65))), "Liqueur", "")))))</f>
        <v/>
      </c>
      <c r="C65" s="52" t="n"/>
      <c r="D65" s="51" t="inlineStr">
        <is>
          <t>Cascahuin Anejo Tequila (750mL/item) - $49.35 2</t>
        </is>
      </c>
      <c r="E65" s="52" t="n">
        <v>750</v>
      </c>
      <c r="F65" s="51">
        <f>TRIM(MID(D65, FIND("$", D65), FIND(" ", D65, FIND("$", D65)) - FIND("$", D65))
)</f>
        <v/>
      </c>
      <c r="G65" s="53" t="n">
        <v>29.57</v>
      </c>
      <c r="H65" s="54">
        <f>SUM(E65/G65)</f>
        <v/>
      </c>
      <c r="I65" s="104">
        <f>SUM(F65/H65)</f>
        <v/>
      </c>
      <c r="J65" s="105">
        <f>SUM(4*I65)</f>
        <v/>
      </c>
      <c r="K65" s="100">
        <f>SUM(I65*1.5)</f>
        <v/>
      </c>
      <c r="L65" s="101">
        <f>SUM(K65*4)</f>
        <v/>
      </c>
      <c r="M65" s="102">
        <f>SUM(I65*2)</f>
        <v/>
      </c>
      <c r="N65" s="103">
        <f>SUM(M65*4)</f>
        <v/>
      </c>
    </row>
    <row r="66" ht="15.75" customHeight="1">
      <c r="A66" s="35" t="n">
        <v>53</v>
      </c>
      <c r="B66" s="49">
        <f>IF(OR(ISNUMBER(SEARCH("Tequila", C66)), ISNUMBER(SEARCH("Tequila", D66))), "Tequila",
IF(OR(ISNUMBER(SEARCH("Rum", C66)), ISNUMBER(SEARCH("Rum", D66))), "Rum",
IF(OR(ISNUMBER(SEARCH("Whiskey", C66)), ISNUMBER(SEARCH("Whiskey", D66))), "Whiskey",
IF(OR(ISNUMBER(SEARCH("Gin", C66)), ISNUMBER(SEARCH("Gin", D66))), "Gin",
IF(OR(ISNUMBER(SEARCH("Liqueur", C66)), ISNUMBER(SEARCH("Liqueur", D66))), "Liqueur", "")))))</f>
        <v/>
      </c>
      <c r="C66" s="58" t="n"/>
      <c r="D66" s="51" t="inlineStr">
        <is>
          <t>Cascahuin Blanco Tequila (750mL/item) - $39.90 2</t>
        </is>
      </c>
      <c r="E66" s="52" t="n">
        <v>750</v>
      </c>
      <c r="F66" s="51">
        <f>TRIM(MID(D66, FIND("$", D66), FIND(" ", D66, FIND("$", D66)) - FIND("$", D66))
)</f>
        <v/>
      </c>
      <c r="G66" s="53" t="n">
        <v>29.57</v>
      </c>
      <c r="H66" s="54">
        <f>SUM(E66/G66)</f>
        <v/>
      </c>
      <c r="I66" s="104">
        <f>SUM(F66/H66)</f>
        <v/>
      </c>
      <c r="J66" s="105">
        <f>SUM(4*I66)</f>
        <v/>
      </c>
      <c r="K66" s="100">
        <f>SUM(I66*1.5)</f>
        <v/>
      </c>
      <c r="L66" s="101">
        <f>SUM(K66*4)</f>
        <v/>
      </c>
      <c r="M66" s="102">
        <f>SUM(I66*2)</f>
        <v/>
      </c>
      <c r="N66" s="103">
        <f>SUM(M66*4)</f>
        <v/>
      </c>
    </row>
    <row r="67" ht="15.75" customHeight="1">
      <c r="A67" s="35" t="n">
        <v>49</v>
      </c>
      <c r="B67" s="49">
        <f>IF(OR(ISNUMBER(SEARCH("Tequila", C67)), ISNUMBER(SEARCH("Tequila", D67))), "Tequila",
IF(OR(ISNUMBER(SEARCH("Rum", C67)), ISNUMBER(SEARCH("Rum", D67))), "Rum",
IF(OR(ISNUMBER(SEARCH("Whiskey", C67)), ISNUMBER(SEARCH("Whiskey", D67))), "Whiskey",
IF(OR(ISNUMBER(SEARCH("Gin", C67)), ISNUMBER(SEARCH("Gin", D67))), "Gin",
IF(OR(ISNUMBER(SEARCH("Liqueur", C67)), ISNUMBER(SEARCH("Liqueur", D67))), "Liqueur", "")))))</f>
        <v/>
      </c>
      <c r="C67" s="52" t="n"/>
      <c r="D67" s="51" t="inlineStr">
        <is>
          <t>Cascahuin Plata 48 Blanco Tequila (750mL/item) - $68.25 2</t>
        </is>
      </c>
      <c r="E67" s="52" t="n">
        <v>750</v>
      </c>
      <c r="F67" s="51">
        <f>TRIM(MID(D67, FIND("$", D67), FIND(" ", D67, FIND("$", D67)) - FIND("$", D67))
)</f>
        <v/>
      </c>
      <c r="G67" s="53" t="n">
        <v>29.57</v>
      </c>
      <c r="H67" s="54">
        <f>SUM(E67/G67)</f>
        <v/>
      </c>
      <c r="I67" s="104">
        <f>SUM(F67/H67)</f>
        <v/>
      </c>
      <c r="J67" s="105">
        <f>SUM(4*I67)</f>
        <v/>
      </c>
      <c r="K67" s="100">
        <f>SUM(I67*1.5)</f>
        <v/>
      </c>
      <c r="L67" s="101">
        <f>SUM(K67*4)</f>
        <v/>
      </c>
      <c r="M67" s="102">
        <f>SUM(I67*2)</f>
        <v/>
      </c>
      <c r="N67" s="103">
        <f>SUM(M67*4)</f>
        <v/>
      </c>
    </row>
    <row r="68" ht="15.75" customHeight="1">
      <c r="A68" s="35" t="n">
        <v>52</v>
      </c>
      <c r="B68" s="49">
        <f>IF(OR(ISNUMBER(SEARCH("Tequila", C68)), ISNUMBER(SEARCH("Tequila", D68))), "Tequila",
IF(OR(ISNUMBER(SEARCH("Rum", C68)), ISNUMBER(SEARCH("Rum", D68))), "Rum",
IF(OR(ISNUMBER(SEARCH("Whiskey", C68)), ISNUMBER(SEARCH("Whiskey", D68))), "Whiskey",
IF(OR(ISNUMBER(SEARCH("Gin", C68)), ISNUMBER(SEARCH("Gin", D68))), "Gin",
IF(OR(ISNUMBER(SEARCH("Liqueur", C68)), ISNUMBER(SEARCH("Liqueur", D68))), "Liqueur", "")))))</f>
        <v/>
      </c>
      <c r="C68" s="57" t="n"/>
      <c r="D68" s="51" t="inlineStr">
        <is>
          <t>Cascahuin Reposado Tequila (750mL/item) - $42.00 2</t>
        </is>
      </c>
      <c r="E68" s="52" t="n">
        <v>750</v>
      </c>
      <c r="F68" s="51">
        <f>TRIM(MID(D68, FIND("$", D68), FIND(" ", D68, FIND("$", D68)) - FIND("$", D68))
)</f>
        <v/>
      </c>
      <c r="G68" s="53" t="n">
        <v>29.57</v>
      </c>
      <c r="H68" s="54">
        <f>SUM(E68/G68)</f>
        <v/>
      </c>
      <c r="I68" s="104">
        <f>SUM(F68/H68)</f>
        <v/>
      </c>
      <c r="J68" s="105">
        <f>SUM(4*I68)</f>
        <v/>
      </c>
      <c r="K68" s="100">
        <f>SUM(I68*1.5)</f>
        <v/>
      </c>
      <c r="L68" s="101">
        <f>SUM(K68*4)</f>
        <v/>
      </c>
      <c r="M68" s="102">
        <f>SUM(I68*2)</f>
        <v/>
      </c>
      <c r="N68" s="103">
        <f>SUM(M68*4)</f>
        <v/>
      </c>
    </row>
    <row r="69" ht="15.75" customHeight="1">
      <c r="A69" s="35" t="n">
        <v>50</v>
      </c>
      <c r="B69" s="49">
        <f>IF(OR(ISNUMBER(SEARCH("Tequila", C69)), ISNUMBER(SEARCH("Tequila", D69))), "Tequila",
IF(OR(ISNUMBER(SEARCH("Rum", C69)), ISNUMBER(SEARCH("Rum", D69))), "Rum",
IF(OR(ISNUMBER(SEARCH("Whiskey", C69)), ISNUMBER(SEARCH("Whiskey", D69))), "Whiskey",
IF(OR(ISNUMBER(SEARCH("Gin", C69)), ISNUMBER(SEARCH("Gin", D69))), "Gin",
IF(OR(ISNUMBER(SEARCH("Liqueur", C69)), ISNUMBER(SEARCH("Liqueur", D69))), "Liqueur", "")))))</f>
        <v/>
      </c>
      <c r="C69" s="52" t="n"/>
      <c r="D69" s="51" t="inlineStr">
        <is>
          <t>Cascahuin Tahona Blanco Tequila (750mL/item) - $74.55 2</t>
        </is>
      </c>
      <c r="E69" s="52" t="n">
        <v>750</v>
      </c>
      <c r="F69" s="51">
        <f>TRIM(MID(D69, FIND("$", D69), FIND(" ", D69, FIND("$", D69)) - FIND("$", D69))
)</f>
        <v/>
      </c>
      <c r="G69" s="53" t="n">
        <v>29.57</v>
      </c>
      <c r="H69" s="54">
        <f>SUM(E69/G69)</f>
        <v/>
      </c>
      <c r="I69" s="104">
        <f>SUM(F69/H69)</f>
        <v/>
      </c>
      <c r="J69" s="105">
        <f>SUM(4*I69)</f>
        <v/>
      </c>
      <c r="K69" s="100">
        <f>SUM(I69*1.5)</f>
        <v/>
      </c>
      <c r="L69" s="101">
        <f>SUM(K69*4)</f>
        <v/>
      </c>
      <c r="M69" s="102">
        <f>SUM(I69*2)</f>
        <v/>
      </c>
      <c r="N69" s="103">
        <f>SUM(M69*4)</f>
        <v/>
      </c>
    </row>
    <row r="70" ht="15.75" customHeight="1">
      <c r="A70" s="35" t="n">
        <v>95</v>
      </c>
      <c r="B70" s="49">
        <f>IF(OR(ISNUMBER(SEARCH("Tequila", C70)), ISNUMBER(SEARCH("Tequila", D70))), "Tequila",
IF(OR(ISNUMBER(SEARCH("Rum", C70)), ISNUMBER(SEARCH("Rum", D70))), "Rum",
IF(OR(ISNUMBER(SEARCH("Whiskey", C70)), ISNUMBER(SEARCH("Whiskey", D70))), "Whiskey",
IF(OR(ISNUMBER(SEARCH("Gin", C70)), ISNUMBER(SEARCH("Gin", D70))), "Gin",
IF(OR(ISNUMBER(SEARCH("Liqueur", C70)), ISNUMBER(SEARCH("Liqueur", D70))), "Liqueur", "")))))</f>
        <v/>
      </c>
      <c r="C70" s="52" t="n"/>
      <c r="D70" s="51" t="inlineStr">
        <is>
          <t>Cazadores Cristalino Anejo Tequila (750mL/item) - $35.31 2</t>
        </is>
      </c>
      <c r="E70" s="52" t="n">
        <v>750</v>
      </c>
      <c r="F70" s="51">
        <f>TRIM(MID(D70, FIND("$", D70), FIND(" ", D70, FIND("$", D70)) - FIND("$", D70))
)</f>
        <v/>
      </c>
      <c r="G70" s="53" t="n">
        <v>29.57</v>
      </c>
      <c r="H70" s="54">
        <f>SUM(E70/G70)</f>
        <v/>
      </c>
      <c r="I70" s="104">
        <f>SUM(F70/H70)</f>
        <v/>
      </c>
      <c r="J70" s="105">
        <f>SUM(4*I70)</f>
        <v/>
      </c>
      <c r="K70" s="100">
        <f>SUM(I70*1.5)</f>
        <v/>
      </c>
      <c r="L70" s="101">
        <f>SUM(K70*4)</f>
        <v/>
      </c>
      <c r="M70" s="102">
        <f>SUM(I70*2)</f>
        <v/>
      </c>
      <c r="N70" s="103">
        <f>SUM(M70*4)</f>
        <v/>
      </c>
    </row>
    <row r="71" ht="15.75" customHeight="1">
      <c r="A71" s="35" t="n">
        <v>96</v>
      </c>
      <c r="B71" s="49">
        <f>IF(OR(ISNUMBER(SEARCH("Tequila", C71)), ISNUMBER(SEARCH("Tequila", D71))), "Tequila",
IF(OR(ISNUMBER(SEARCH("Rum", C71)), ISNUMBER(SEARCH("Rum", D71))), "Rum",
IF(OR(ISNUMBER(SEARCH("Whiskey", C71)), ISNUMBER(SEARCH("Whiskey", D71))), "Whiskey",
IF(OR(ISNUMBER(SEARCH("Gin", C71)), ISNUMBER(SEARCH("Gin", D71))), "Gin",
IF(OR(ISNUMBER(SEARCH("Liqueur", C71)), ISNUMBER(SEARCH("Liqueur", D71))), "Liqueur", "")))))</f>
        <v/>
      </c>
      <c r="C71" s="57" t="n"/>
      <c r="D71" s="51" t="inlineStr">
        <is>
          <t>Cazadores Reposado Tequila (750mL/item) - $25.50 1</t>
        </is>
      </c>
      <c r="E71" s="52" t="n">
        <v>750</v>
      </c>
      <c r="F71" s="51">
        <f>TRIM(MID(D71, FIND("$", D71), FIND(" ", D71, FIND("$", D71)) - FIND("$", D71))
)</f>
        <v/>
      </c>
      <c r="G71" s="53" t="n">
        <v>29.57</v>
      </c>
      <c r="H71" s="54">
        <f>SUM(E71/G71)</f>
        <v/>
      </c>
      <c r="I71" s="104">
        <f>SUM(F71/H71)</f>
        <v/>
      </c>
      <c r="J71" s="105">
        <f>SUM(4*I71)</f>
        <v/>
      </c>
      <c r="K71" s="100">
        <f>SUM(I71*1.5)</f>
        <v/>
      </c>
      <c r="L71" s="101">
        <f>SUM(K71*4)</f>
        <v/>
      </c>
      <c r="M71" s="102">
        <f>SUM(I71*2)</f>
        <v/>
      </c>
      <c r="N71" s="103">
        <f>SUM(M71*4)</f>
        <v/>
      </c>
    </row>
    <row r="72" ht="15.75" customHeight="1">
      <c r="A72" s="35" t="n">
        <v>229</v>
      </c>
      <c r="B72" s="49">
        <f>IF(OR(ISNUMBER(SEARCH("Tequila", C72)), ISNUMBER(SEARCH("Tequila", D72))), "Tequila",
IF(OR(ISNUMBER(SEARCH("Rum", C72)), ISNUMBER(SEARCH("Rum", D72))), "Rum",
IF(OR(ISNUMBER(SEARCH("Whiskey", C72)), ISNUMBER(SEARCH("Whiskey", D72))), "Whiskey",
IF(OR(ISNUMBER(SEARCH("Gin", C72)), ISNUMBER(SEARCH("Gin", D72))), "Gin",
IF(OR(ISNUMBER(SEARCH("Liqueur", C72)), ISNUMBER(SEARCH("Liqueur", D72))), "Liqueur", "")))))</f>
        <v/>
      </c>
      <c r="C72" s="58" t="n"/>
      <c r="D72" s="51" t="inlineStr">
        <is>
          <t>Cazcanes Blanco Tequila (750mL/item) - $73.50 1</t>
        </is>
      </c>
      <c r="E72" s="52" t="n">
        <v>750</v>
      </c>
      <c r="F72" s="51">
        <f>TRIM(MID(D72, FIND("$", D72), FIND(" ", D72, FIND("$", D72)) - FIND("$", D72))
)</f>
        <v/>
      </c>
      <c r="G72" s="53" t="n">
        <v>29.57</v>
      </c>
      <c r="H72" s="54">
        <f>SUM(E72/G72)</f>
        <v/>
      </c>
      <c r="I72" s="104">
        <f>SUM(F72/H72)</f>
        <v/>
      </c>
      <c r="J72" s="105">
        <f>SUM(4*I72)</f>
        <v/>
      </c>
      <c r="K72" s="100">
        <f>SUM(I72*1.5)</f>
        <v/>
      </c>
      <c r="L72" s="101">
        <f>SUM(K72*4)</f>
        <v/>
      </c>
      <c r="M72" s="102">
        <f>SUM(I72*2)</f>
        <v/>
      </c>
      <c r="N72" s="103">
        <f>SUM(M72*4)</f>
        <v/>
      </c>
    </row>
    <row r="73" ht="15.75" customHeight="1">
      <c r="A73" s="35" t="n">
        <v>230</v>
      </c>
      <c r="B73" s="49">
        <f>IF(OR(ISNUMBER(SEARCH("Tequila", C73)), ISNUMBER(SEARCH("Tequila", D73))), "Tequila",
IF(OR(ISNUMBER(SEARCH("Rum", C73)), ISNUMBER(SEARCH("Rum", D73))), "Rum",
IF(OR(ISNUMBER(SEARCH("Whiskey", C73)), ISNUMBER(SEARCH("Whiskey", D73))), "Whiskey",
IF(OR(ISNUMBER(SEARCH("Gin", C73)), ISNUMBER(SEARCH("Gin", D73))), "Gin",
IF(OR(ISNUMBER(SEARCH("Liqueur", C73)), ISNUMBER(SEARCH("Liqueur", D73))), "Liqueur", "")))))</f>
        <v/>
      </c>
      <c r="C73" s="57" t="n"/>
      <c r="D73" s="51" t="inlineStr">
        <is>
          <t>Cazcanes Reposado Tequila (750ML/item) - $81.00 1</t>
        </is>
      </c>
      <c r="E73" s="52" t="n">
        <v>750</v>
      </c>
      <c r="F73" s="51">
        <f>TRIM(MID(D73, FIND("$", D73), FIND(" ", D73, FIND("$", D73)) - FIND("$", D73))
)</f>
        <v/>
      </c>
      <c r="G73" s="53" t="n">
        <v>29.57</v>
      </c>
      <c r="H73" s="54">
        <f>SUM(E73/G73)</f>
        <v/>
      </c>
      <c r="I73" s="104">
        <f>SUM(F73/H73)</f>
        <v/>
      </c>
      <c r="J73" s="105">
        <f>SUM(4*I73)</f>
        <v/>
      </c>
      <c r="K73" s="100">
        <f>SUM(I73*1.5)</f>
        <v/>
      </c>
      <c r="L73" s="101">
        <f>SUM(K73*4)</f>
        <v/>
      </c>
      <c r="M73" s="102">
        <f>SUM(I73*2)</f>
        <v/>
      </c>
      <c r="N73" s="103">
        <f>SUM(M73*4)</f>
        <v/>
      </c>
    </row>
    <row r="74" ht="15.75" customHeight="1">
      <c r="A74" s="35" t="n">
        <v>231</v>
      </c>
      <c r="B74" s="49">
        <f>IF(OR(ISNUMBER(SEARCH("Tequila", C74)), ISNUMBER(SEARCH("Tequila", D74))), "Tequila",
IF(OR(ISNUMBER(SEARCH("Rum", C74)), ISNUMBER(SEARCH("Rum", D74))), "Rum",
IF(OR(ISNUMBER(SEARCH("Whiskey", C74)), ISNUMBER(SEARCH("Whiskey", D74))), "Whiskey",
IF(OR(ISNUMBER(SEARCH("Gin", C74)), ISNUMBER(SEARCH("Gin", D74))), "Gin",
IF(OR(ISNUMBER(SEARCH("Liqueur", C74)), ISNUMBER(SEARCH("Liqueur", D74))), "Liqueur", "")))))</f>
        <v/>
      </c>
      <c r="C74" s="58" t="n"/>
      <c r="D74" s="51" t="inlineStr">
        <is>
          <t>Cazcanes Still Strength Blanco Tequila (750mL/item) - $33.48 1</t>
        </is>
      </c>
      <c r="E74" s="52" t="n">
        <v>750</v>
      </c>
      <c r="F74" s="51">
        <f>TRIM(MID(D74, FIND("$", D74), FIND(" ", D74, FIND("$", D74)) - FIND("$", D74))
)</f>
        <v/>
      </c>
      <c r="G74" s="53" t="n">
        <v>29.57</v>
      </c>
      <c r="H74" s="54">
        <f>SUM(E74/G74)</f>
        <v/>
      </c>
      <c r="I74" s="104">
        <f>SUM(F74/H74)</f>
        <v/>
      </c>
      <c r="J74" s="105">
        <f>SUM(4*I74)</f>
        <v/>
      </c>
      <c r="K74" s="100">
        <f>SUM(I74*1.5)</f>
        <v/>
      </c>
      <c r="L74" s="101">
        <f>SUM(K74*4)</f>
        <v/>
      </c>
      <c r="M74" s="102">
        <f>SUM(I74*2)</f>
        <v/>
      </c>
      <c r="N74" s="103">
        <f>SUM(M74*4)</f>
        <v/>
      </c>
    </row>
    <row r="75" ht="15.75" customHeight="1">
      <c r="A75" s="59" t="n"/>
      <c r="B75" s="49">
        <f>IF(OR(ISNUMBER(SEARCH("Tequila", C75)), ISNUMBER(SEARCH("Tequila", D75))), "Tequila",
IF(OR(ISNUMBER(SEARCH("Rum", C75)), ISNUMBER(SEARCH("Rum", D75))), "Rum",
IF(OR(ISNUMBER(SEARCH("Whiskey", C75)), ISNUMBER(SEARCH("Whiskey", D75))), "Whiskey",
IF(OR(ISNUMBER(SEARCH("Gin", C75)), ISNUMBER(SEARCH("Gin", D75))), "Gin",
IF(OR(ISNUMBER(SEARCH("Liqueur", C75)), ISNUMBER(SEARCH("Liqueur", D75))), "Liqueur", "")))))</f>
        <v/>
      </c>
      <c r="C75" s="52" t="n"/>
      <c r="D75" s="60" t="inlineStr">
        <is>
          <t>Cenote Anejo Tequila (750mL) $43.48 6</t>
        </is>
      </c>
      <c r="E75" s="52" t="n">
        <v>750</v>
      </c>
      <c r="F75" s="51">
        <f>TRIM(MID(D75, FIND("$", D75), FIND(" ", D75, FIND("$", D75)) - FIND("$", D75))
)</f>
        <v/>
      </c>
      <c r="G75" s="53" t="n">
        <v>29.57</v>
      </c>
      <c r="H75" s="54">
        <f>SUM(E75/G75)</f>
        <v/>
      </c>
      <c r="I75" s="104">
        <f>SUM(F75/H75)</f>
        <v/>
      </c>
      <c r="J75" s="105">
        <f>SUM(4*I75)</f>
        <v/>
      </c>
      <c r="K75" s="100">
        <f>SUM(I75*1.5)</f>
        <v/>
      </c>
      <c r="L75" s="101">
        <f>SUM(K75*4)</f>
        <v/>
      </c>
      <c r="M75" s="102">
        <f>SUM(I75*2)</f>
        <v/>
      </c>
      <c r="N75" s="103">
        <f>SUM(M75*4)</f>
        <v/>
      </c>
    </row>
    <row r="76" ht="15.75" customHeight="1">
      <c r="A76" s="35" t="n">
        <v>97</v>
      </c>
      <c r="B76" s="49">
        <f>IF(OR(ISNUMBER(SEARCH("Tequila", C76)), ISNUMBER(SEARCH("Tequila", D76))), "Tequila",
IF(OR(ISNUMBER(SEARCH("Rum", C76)), ISNUMBER(SEARCH("Rum", D76))), "Rum",
IF(OR(ISNUMBER(SEARCH("Whiskey", C76)), ISNUMBER(SEARCH("Whiskey", D76))), "Whiskey",
IF(OR(ISNUMBER(SEARCH("Gin", C76)), ISNUMBER(SEARCH("Gin", D76))), "Gin",
IF(OR(ISNUMBER(SEARCH("Liqueur", C76)), ISNUMBER(SEARCH("Liqueur", D76))), "Liqueur", "")))))</f>
        <v/>
      </c>
      <c r="C76" s="52" t="n"/>
      <c r="D76" s="51" t="inlineStr">
        <is>
          <t>Cenote Anejo Tequila (750mL/item) - $43.48 1</t>
        </is>
      </c>
      <c r="E76" s="52" t="n">
        <v>750</v>
      </c>
      <c r="F76" s="51">
        <f>TRIM(MID(D76, FIND("$", D76), FIND(" ", D76, FIND("$", D76)) - FIND("$", D76))
)</f>
        <v/>
      </c>
      <c r="G76" s="53" t="n">
        <v>29.57</v>
      </c>
      <c r="H76" s="54">
        <f>SUM(E76/G76)</f>
        <v/>
      </c>
      <c r="I76" s="104">
        <f>SUM(F76/H76)</f>
        <v/>
      </c>
      <c r="J76" s="105">
        <f>SUM(4*I76)</f>
        <v/>
      </c>
      <c r="K76" s="100">
        <f>SUM(I76*1.5)</f>
        <v/>
      </c>
      <c r="L76" s="101">
        <f>SUM(K76*4)</f>
        <v/>
      </c>
      <c r="M76" s="102">
        <f>SUM(I76*2)</f>
        <v/>
      </c>
      <c r="N76" s="103">
        <f>SUM(M76*4)</f>
        <v/>
      </c>
    </row>
    <row r="77" ht="15.75" customHeight="1">
      <c r="A77" s="35" t="n">
        <v>98</v>
      </c>
      <c r="B77" s="49">
        <f>IF(OR(ISNUMBER(SEARCH("Tequila", C77)), ISNUMBER(SEARCH("Tequila", D77))), "Tequila",
IF(OR(ISNUMBER(SEARCH("Rum", C77)), ISNUMBER(SEARCH("Rum", D77))), "Rum",
IF(OR(ISNUMBER(SEARCH("Whiskey", C77)), ISNUMBER(SEARCH("Whiskey", D77))), "Whiskey",
IF(OR(ISNUMBER(SEARCH("Gin", C77)), ISNUMBER(SEARCH("Gin", D77))), "Gin",
IF(OR(ISNUMBER(SEARCH("Liqueur", C77)), ISNUMBER(SEARCH("Liqueur", D77))), "Liqueur", "")))))</f>
        <v/>
      </c>
      <c r="C77" s="58" t="n"/>
      <c r="D77" s="51" t="inlineStr">
        <is>
          <t>Cenote Blanco Tequila (750ML/item) - $36.95 1</t>
        </is>
      </c>
      <c r="E77" s="52" t="n">
        <v>750</v>
      </c>
      <c r="F77" s="51">
        <f>TRIM(MID(D77, FIND("$", D77), FIND(" ", D77, FIND("$", D77)) - FIND("$", D77))
)</f>
        <v/>
      </c>
      <c r="G77" s="53" t="n">
        <v>29.57</v>
      </c>
      <c r="H77" s="54">
        <f>SUM(E77/G77)</f>
        <v/>
      </c>
      <c r="I77" s="104">
        <f>SUM(F77/H77)</f>
        <v/>
      </c>
      <c r="J77" s="105">
        <f>SUM(4*I77)</f>
        <v/>
      </c>
      <c r="K77" s="100">
        <f>SUM(I77*1.5)</f>
        <v/>
      </c>
      <c r="L77" s="101">
        <f>SUM(K77*4)</f>
        <v/>
      </c>
      <c r="M77" s="102">
        <f>SUM(I77*2)</f>
        <v/>
      </c>
      <c r="N77" s="103">
        <f>SUM(M77*4)</f>
        <v/>
      </c>
    </row>
    <row r="78" ht="15.75" customHeight="1">
      <c r="A78" s="59" t="n"/>
      <c r="B78" s="49">
        <f>IF(OR(ISNUMBER(SEARCH("Tequila", C78)), ISNUMBER(SEARCH("Tequila", D78))), "Tequila",
IF(OR(ISNUMBER(SEARCH("Rum", C78)), ISNUMBER(SEARCH("Rum", D78))), "Rum",
IF(OR(ISNUMBER(SEARCH("Whiskey", C78)), ISNUMBER(SEARCH("Whiskey", D78))), "Whiskey",
IF(OR(ISNUMBER(SEARCH("Gin", C78)), ISNUMBER(SEARCH("Gin", D78))), "Gin",
IF(OR(ISNUMBER(SEARCH("Liqueur", C78)), ISNUMBER(SEARCH("Liqueur", D78))), "Liqueur", "")))))</f>
        <v/>
      </c>
      <c r="C78" s="52" t="n"/>
      <c r="D78" s="60" t="inlineStr">
        <is>
          <t>Chamucos Anejo Tequila (750mL) $52.46 1</t>
        </is>
      </c>
      <c r="E78" s="52" t="n">
        <v>750</v>
      </c>
      <c r="F78" s="51">
        <f>TRIM(MID(D78, FIND("$", D78), FIND(" ", D78, FIND("$", D78)) - FIND("$", D78))
)</f>
        <v/>
      </c>
      <c r="G78" s="53" t="n">
        <v>29.57</v>
      </c>
      <c r="H78" s="54">
        <f>SUM(E78/G78)</f>
        <v/>
      </c>
      <c r="I78" s="104">
        <f>SUM(F78/H78)</f>
        <v/>
      </c>
      <c r="J78" s="105">
        <f>SUM(4*I78)</f>
        <v/>
      </c>
      <c r="K78" s="100">
        <f>SUM(I78*1.5)</f>
        <v/>
      </c>
      <c r="L78" s="101">
        <f>SUM(K78*4)</f>
        <v/>
      </c>
      <c r="M78" s="102">
        <f>SUM(I78*2)</f>
        <v/>
      </c>
      <c r="N78" s="103">
        <f>SUM(M78*4)</f>
        <v/>
      </c>
    </row>
    <row r="79" ht="15.75" customHeight="1">
      <c r="A79" s="59" t="n"/>
      <c r="B79" s="49">
        <f>IF(OR(ISNUMBER(SEARCH("Tequila", C79)), ISNUMBER(SEARCH("Tequila", D79))), "Tequila",
IF(OR(ISNUMBER(SEARCH("Rum", C79)), ISNUMBER(SEARCH("Rum", D79))), "Rum",
IF(OR(ISNUMBER(SEARCH("Whiskey", C79)), ISNUMBER(SEARCH("Whiskey", D79))), "Whiskey",
IF(OR(ISNUMBER(SEARCH("Gin", C79)), ISNUMBER(SEARCH("Gin", D79))), "Gin",
IF(OR(ISNUMBER(SEARCH("Liqueur", C79)), ISNUMBER(SEARCH("Liqueur", D79))), "Liqueur", "")))))</f>
        <v/>
      </c>
      <c r="C79" s="58" t="n"/>
      <c r="D79" s="60" t="inlineStr">
        <is>
          <t>Chamucos Blanco Tequila (750mL) $41.84 1</t>
        </is>
      </c>
      <c r="E79" s="52" t="n">
        <v>750</v>
      </c>
      <c r="F79" s="51">
        <f>TRIM(MID(D79, FIND("$", D79), FIND(" ", D79, FIND("$", D79)) - FIND("$", D79))
)</f>
        <v/>
      </c>
      <c r="G79" s="53" t="n">
        <v>29.57</v>
      </c>
      <c r="H79" s="54">
        <f>SUM(E79/G79)</f>
        <v/>
      </c>
      <c r="I79" s="104">
        <f>SUM(F79/H79)</f>
        <v/>
      </c>
      <c r="J79" s="105">
        <f>SUM(4*I79)</f>
        <v/>
      </c>
      <c r="K79" s="100">
        <f>SUM(I79*1.5)</f>
        <v/>
      </c>
      <c r="L79" s="101">
        <f>SUM(K79*4)</f>
        <v/>
      </c>
      <c r="M79" s="102">
        <f>SUM(I79*2)</f>
        <v/>
      </c>
      <c r="N79" s="103">
        <f>SUM(M79*4)</f>
        <v/>
      </c>
    </row>
    <row r="80" ht="15.75" customHeight="1">
      <c r="A80" s="35" t="n">
        <v>99</v>
      </c>
      <c r="B80" s="49">
        <f>IF(OR(ISNUMBER(SEARCH("Tequila", C80)), ISNUMBER(SEARCH("Tequila", D80))), "Tequila",
IF(OR(ISNUMBER(SEARCH("Rum", C80)), ISNUMBER(SEARCH("Rum", D80))), "Rum",
IF(OR(ISNUMBER(SEARCH("Whiskey", C80)), ISNUMBER(SEARCH("Whiskey", D80))), "Whiskey",
IF(OR(ISNUMBER(SEARCH("Gin", C80)), ISNUMBER(SEARCH("Gin", D80))), "Gin",
IF(OR(ISNUMBER(SEARCH("Liqueur", C80)), ISNUMBER(SEARCH("Liqueur", D80))), "Liqueur", "")))))</f>
        <v/>
      </c>
      <c r="C80" s="58" t="n"/>
      <c r="D80" s="51" t="inlineStr">
        <is>
          <t>Chamucos Diablo Blanco Tequila (750mL/item) - $52.74 1</t>
        </is>
      </c>
      <c r="E80" s="52" t="n">
        <v>750</v>
      </c>
      <c r="F80" s="51">
        <f>TRIM(MID(D80, FIND("$", D80), FIND(" ", D80, FIND("$", D80)) - FIND("$", D80))
)</f>
        <v/>
      </c>
      <c r="G80" s="53" t="n">
        <v>29.57</v>
      </c>
      <c r="H80" s="54">
        <f>SUM(E80/G80)</f>
        <v/>
      </c>
      <c r="I80" s="104">
        <f>SUM(F80/H80)</f>
        <v/>
      </c>
      <c r="J80" s="105">
        <f>SUM(4*I80)</f>
        <v/>
      </c>
      <c r="K80" s="100">
        <f>SUM(I80*1.5)</f>
        <v/>
      </c>
      <c r="L80" s="101">
        <f>SUM(K80*4)</f>
        <v/>
      </c>
      <c r="M80" s="102">
        <f>SUM(I80*2)</f>
        <v/>
      </c>
      <c r="N80" s="103">
        <f>SUM(M80*4)</f>
        <v/>
      </c>
    </row>
    <row r="81" ht="15.75" customHeight="1">
      <c r="A81" s="35" t="n">
        <v>2</v>
      </c>
      <c r="B81" s="49" t="inlineStr">
        <is>
          <t>tequila</t>
        </is>
      </c>
      <c r="C81" s="50" t="n"/>
      <c r="D81" s="51" t="inlineStr">
        <is>
          <t>Chamucos Extra Anejo Tequila (750ML) $152.78 -1</t>
        </is>
      </c>
      <c r="E81" s="52" t="n">
        <v>750</v>
      </c>
      <c r="F81" s="51">
        <f>TRIM(MID(D81, FIND("$", D81), FIND(" ", D81, FIND("$", D81)) - FIND("$", D81))
)</f>
        <v/>
      </c>
      <c r="G81" s="53" t="n">
        <v>29.57</v>
      </c>
      <c r="H81" s="54">
        <f>SUM(E81/G81)</f>
        <v/>
      </c>
      <c r="I81" s="104">
        <f>SUM(F81/H81)</f>
        <v/>
      </c>
      <c r="J81" s="105">
        <f>SUM(4*I81)</f>
        <v/>
      </c>
      <c r="K81" s="100">
        <f>SUM(I81*1.5)</f>
        <v/>
      </c>
      <c r="L81" s="101">
        <f>SUM(K81*4)</f>
        <v/>
      </c>
      <c r="M81" s="102">
        <f>SUM(I81*2)</f>
        <v/>
      </c>
      <c r="N81" s="103">
        <f>SUM(M81*4)</f>
        <v/>
      </c>
    </row>
    <row r="82" ht="15.75" customHeight="1">
      <c r="A82" s="35" t="n">
        <v>303</v>
      </c>
      <c r="B82" s="49">
        <f>IF(OR(ISNUMBER(SEARCH("Tequila", C82)), ISNUMBER(SEARCH("Tequila", D82))), "Tequila",
 IF(OR(ISNUMBER(SEARCH("Rum", C82)), ISNUMBER(SEARCH("Rum", D82))), "Rum",
 IF(OR(ISNUMBER(SEARCH("Whiskey", C82)), ISNUMBER(SEARCH("Whiskey", D82))), "Whiskey",
 IF(OR(ISNUMBER(SEARCH("Gin", C82)), ISNUMBER(SEARCH("Gin", D82))), "Gin",
 IF(OR(ISNUMBER(SEARCH("Liqueur", C82)), ISNUMBER(SEARCH("Liqueur", D82))), "Liqueur", "")))))</f>
        <v/>
      </c>
      <c r="C82" s="50" t="n"/>
      <c r="D82" s="51" t="inlineStr">
        <is>
          <t>Chamucos Extra Anejo Tequila (750mL/item) - $146.96 2</t>
        </is>
      </c>
      <c r="E82" s="52" t="n">
        <v>750</v>
      </c>
      <c r="F82" s="51">
        <f>TRIM(MID(D82, FIND("$", D82), FIND(" ", D82, FIND("$", D82)) - FIND("$", D82))
)</f>
        <v/>
      </c>
      <c r="G82" s="53" t="n">
        <v>29.57</v>
      </c>
      <c r="H82" s="54">
        <f>SUM(E82/G82)</f>
        <v/>
      </c>
      <c r="I82" s="104">
        <f>SUM(F82/H82)</f>
        <v/>
      </c>
      <c r="J82" s="105">
        <f>SUM(4*I82)</f>
        <v/>
      </c>
      <c r="K82" s="100">
        <f>SUM(I82*1.5)</f>
        <v/>
      </c>
      <c r="L82" s="101">
        <f>SUM(K82*4)</f>
        <v/>
      </c>
      <c r="M82" s="102">
        <f>SUM(I82*2)</f>
        <v/>
      </c>
      <c r="N82" s="103">
        <f>SUM(M82*4)</f>
        <v/>
      </c>
    </row>
    <row r="83" ht="15.75" customHeight="1">
      <c r="A83" s="59" t="n"/>
      <c r="B83" s="49">
        <f>IF(OR(ISNUMBER(SEARCH("Tequila", C83)), ISNUMBER(SEARCH("Tequila", D83))), "Tequila",
IF(OR(ISNUMBER(SEARCH("Rum", C83)), ISNUMBER(SEARCH("Rum", D83))), "Rum",
IF(OR(ISNUMBER(SEARCH("Whiskey", C83)), ISNUMBER(SEARCH("Whiskey", D83))), "Whiskey",
IF(OR(ISNUMBER(SEARCH("Gin", C83)), ISNUMBER(SEARCH("Gin", D83))), "Gin",
IF(OR(ISNUMBER(SEARCH("Liqueur", C83)), ISNUMBER(SEARCH("Liqueur", D83))), "Liqueur", "")))))</f>
        <v/>
      </c>
      <c r="C83" s="57" t="n"/>
      <c r="D83" s="60" t="inlineStr">
        <is>
          <t>Chamucos Reposado Tequila (750mL) $43.74 1</t>
        </is>
      </c>
      <c r="E83" s="52" t="n">
        <v>750</v>
      </c>
      <c r="F83" s="51">
        <f>TRIM(MID(D83, FIND("$", D83), FIND(" ", D83, FIND("$", D83)) - FIND("$", D83))
)</f>
        <v/>
      </c>
      <c r="G83" s="53" t="n">
        <v>29.57</v>
      </c>
      <c r="H83" s="54">
        <f>SUM(E83/G83)</f>
        <v/>
      </c>
      <c r="I83" s="104">
        <f>SUM(F83/H83)</f>
        <v/>
      </c>
      <c r="J83" s="105">
        <f>SUM(4*I83)</f>
        <v/>
      </c>
      <c r="K83" s="100">
        <f>SUM(I83*1.5)</f>
        <v/>
      </c>
      <c r="L83" s="101">
        <f>SUM(K83*4)</f>
        <v/>
      </c>
      <c r="M83" s="102">
        <f>SUM(I83*2)</f>
        <v/>
      </c>
      <c r="N83" s="103">
        <f>SUM(M83*4)</f>
        <v/>
      </c>
    </row>
    <row r="84" ht="15.75" customHeight="1">
      <c r="A84" s="35" t="n">
        <v>284</v>
      </c>
      <c r="B84" s="49">
        <f>IF(OR(ISNUMBER(SEARCH("Tequila", C84)), ISNUMBER(SEARCH("Tequila", D84))), "Tequila",
IF(OR(ISNUMBER(SEARCH("Rum", C84)), ISNUMBER(SEARCH("Rum", D84))), "Rum",
IF(OR(ISNUMBER(SEARCH("Whiskey", C84)), ISNUMBER(SEARCH("Whiskey", D84))), "Whiskey",
IF(OR(ISNUMBER(SEARCH("Gin", C84)), ISNUMBER(SEARCH("Gin", D84))), "Gin",
IF(OR(ISNUMBER(SEARCH("Liqueur", C84)), ISNUMBER(SEARCH("Liqueur", D84))), "Liqueur", "")))))</f>
        <v/>
      </c>
      <c r="C84" s="52" t="n"/>
      <c r="D84" s="51" t="n"/>
      <c r="E84" s="52" t="n"/>
      <c r="F84" s="51" t="n"/>
      <c r="G84" s="53" t="n"/>
      <c r="H84" s="54" t="n"/>
      <c r="I84" s="104" t="n"/>
      <c r="J84" s="105" t="n"/>
      <c r="K84" s="100" t="n"/>
      <c r="L84" s="101" t="n"/>
      <c r="M84" s="102" t="n"/>
      <c r="N84" s="103" t="n"/>
    </row>
    <row r="85" ht="15.75" customHeight="1">
      <c r="A85" s="35" t="n">
        <v>262</v>
      </c>
      <c r="B85" s="49">
        <f>IF(OR(ISNUMBER(SEARCH("Tequila", C85)), ISNUMBER(SEARCH("Tequila", D85))), "Tequila",
IF(OR(ISNUMBER(SEARCH("Rum", C85)), ISNUMBER(SEARCH("Rum", D85))), "Rum",
IF(OR(ISNUMBER(SEARCH("Whiskey", C85)), ISNUMBER(SEARCH("Whiskey", D85))), "Whiskey",
IF(OR(ISNUMBER(SEARCH("Gin", C85)), ISNUMBER(SEARCH("Gin", D85))), "Gin",
IF(OR(ISNUMBER(SEARCH("Liqueur", C85)), ISNUMBER(SEARCH("Liqueur", D85))), "Liqueur", "")))))</f>
        <v/>
      </c>
      <c r="C85" s="52" t="n"/>
      <c r="D85" s="51" t="n"/>
      <c r="E85" s="52" t="n"/>
      <c r="F85" s="51" t="n"/>
      <c r="G85" s="53" t="n"/>
      <c r="H85" s="54" t="n"/>
      <c r="I85" s="104" t="n"/>
      <c r="J85" s="105" t="n"/>
      <c r="K85" s="100" t="n"/>
      <c r="L85" s="101" t="n"/>
      <c r="M85" s="102" t="n"/>
      <c r="N85" s="103" t="n"/>
    </row>
    <row r="86" ht="15.75" customHeight="1">
      <c r="A86" s="35" t="n">
        <v>33</v>
      </c>
      <c r="B86" s="49">
        <f>IF(OR(ISNUMBER(SEARCH("Tequila", C86)), ISNUMBER(SEARCH("Tequila", D86))), "Tequila",
IF(OR(ISNUMBER(SEARCH("Rum", C86)), ISNUMBER(SEARCH("Rum", D86))), "Rum",
IF(OR(ISNUMBER(SEARCH("Whiskey", C86)), ISNUMBER(SEARCH("Whiskey", D86))), "Whiskey",
IF(OR(ISNUMBER(SEARCH("Gin", C86)), ISNUMBER(SEARCH("Gin", D86))), "Gin",
IF(OR(ISNUMBER(SEARCH("Liqueur", C86)), ISNUMBER(SEARCH("Liqueur", D86))), "Liqueur", "")))))</f>
        <v/>
      </c>
      <c r="C86" s="52" t="n"/>
      <c r="D86" s="51" t="inlineStr">
        <is>
          <t>Chopin Vodka (750mL / item $22.24 1</t>
        </is>
      </c>
      <c r="E86" s="52" t="n">
        <v>750</v>
      </c>
      <c r="F86" s="51">
        <f>TRIM(MID(D86, FIND("$", D86), FIND(" ", D86, FIND("$", D86)) - FIND("$", D86))
)</f>
        <v/>
      </c>
      <c r="G86" s="53" t="n">
        <v>29.57</v>
      </c>
      <c r="H86" s="54">
        <f>SUM(E86/G86)</f>
        <v/>
      </c>
      <c r="I86" s="104">
        <f>SUM(F86/H86)</f>
        <v/>
      </c>
      <c r="J86" s="105">
        <f>SUM(4*I86)</f>
        <v/>
      </c>
      <c r="K86" s="100">
        <f>SUM(I86*1.5)</f>
        <v/>
      </c>
      <c r="L86" s="101">
        <f>SUM(K86*4)</f>
        <v/>
      </c>
      <c r="M86" s="102">
        <f>SUM(I86*2)</f>
        <v/>
      </c>
      <c r="N86" s="103">
        <f>SUM(M86*4)</f>
        <v/>
      </c>
    </row>
    <row r="87" ht="15.75" customHeight="1">
      <c r="A87" s="59" t="n"/>
      <c r="B87" s="49">
        <f>IF(OR(ISNUMBER(SEARCH("Tequila", C87)), ISNUMBER(SEARCH("Tequila", D87))), "Tequila",
IF(OR(ISNUMBER(SEARCH("Rum", C87)), ISNUMBER(SEARCH("Rum", D87))), "Rum",
IF(OR(ISNUMBER(SEARCH("Whiskey", C87)), ISNUMBER(SEARCH("Whiskey", D87))), "Whiskey",
IF(OR(ISNUMBER(SEARCH("Gin", C87)), ISNUMBER(SEARCH("Gin", D87))), "Gin",
IF(OR(ISNUMBER(SEARCH("Liqueur", C87)), ISNUMBER(SEARCH("Liqueur", D87))), "Liqueur", "")))))</f>
        <v/>
      </c>
      <c r="C87" s="52" t="n"/>
      <c r="D87" s="60" t="inlineStr">
        <is>
          <t>Cierto Anejo Tequila (750ML) $133.36 1</t>
        </is>
      </c>
      <c r="E87" s="52" t="n">
        <v>750</v>
      </c>
      <c r="F87" s="51">
        <f>TRIM(MID(D87, FIND("$", D87), FIND(" ", D87, FIND("$", D87)) - FIND("$", D87))
)</f>
        <v/>
      </c>
      <c r="G87" s="53" t="n">
        <v>29.57</v>
      </c>
      <c r="H87" s="54">
        <f>SUM(E87/G87)</f>
        <v/>
      </c>
      <c r="I87" s="104">
        <f>SUM(F87/H87)</f>
        <v/>
      </c>
      <c r="J87" s="105">
        <f>SUM(4*I87)</f>
        <v/>
      </c>
      <c r="K87" s="100">
        <f>SUM(I87*1.5)</f>
        <v/>
      </c>
      <c r="L87" s="101">
        <f>SUM(K87*4)</f>
        <v/>
      </c>
      <c r="M87" s="102">
        <f>SUM(I87*2)</f>
        <v/>
      </c>
      <c r="N87" s="103">
        <f>SUM(M87*4)</f>
        <v/>
      </c>
    </row>
    <row r="88" ht="15.75" customHeight="1">
      <c r="A88" s="59" t="n"/>
      <c r="B88" s="49">
        <f>IF(OR(ISNUMBER(SEARCH("Tequila", C88)), ISNUMBER(SEARCH("Tequila", D88))), "Tequila",
IF(OR(ISNUMBER(SEARCH("Rum", C88)), ISNUMBER(SEARCH("Rum", D88))), "Rum",
IF(OR(ISNUMBER(SEARCH("Whiskey", C88)), ISNUMBER(SEARCH("Whiskey", D88))), "Whiskey",
IF(OR(ISNUMBER(SEARCH("Gin", C88)), ISNUMBER(SEARCH("Gin", D88))), "Gin",
IF(OR(ISNUMBER(SEARCH("Liqueur", C88)), ISNUMBER(SEARCH("Liqueur", D88))), "Liqueur", "")))))</f>
        <v/>
      </c>
      <c r="C88" s="58" t="n"/>
      <c r="D88" s="60" t="inlineStr">
        <is>
          <t>Cierto Blanco Tequila (750mL) $67.99 1</t>
        </is>
      </c>
      <c r="E88" s="52" t="n">
        <v>750</v>
      </c>
      <c r="F88" s="51">
        <f>TRIM(MID(D88, FIND("$", D88), FIND(" ", D88, FIND("$", D88)) - FIND("$", D88))
)</f>
        <v/>
      </c>
      <c r="G88" s="53" t="n">
        <v>29.57</v>
      </c>
      <c r="H88" s="54">
        <f>SUM(E88/G88)</f>
        <v/>
      </c>
      <c r="I88" s="104">
        <f>SUM(F88/H88)</f>
        <v/>
      </c>
      <c r="J88" s="105">
        <f>SUM(4*I88)</f>
        <v/>
      </c>
      <c r="K88" s="100">
        <f>SUM(I88*1.5)</f>
        <v/>
      </c>
      <c r="L88" s="101">
        <f>SUM(K88*4)</f>
        <v/>
      </c>
      <c r="M88" s="102">
        <f>SUM(I88*2)</f>
        <v/>
      </c>
      <c r="N88" s="103">
        <f>SUM(M88*4)</f>
        <v/>
      </c>
    </row>
    <row r="89" ht="15.75" customHeight="1">
      <c r="A89" s="59" t="n"/>
      <c r="B89" s="49">
        <f>IF(OR(ISNUMBER(SEARCH("Tequila", C89)), ISNUMBER(SEARCH("Tequila", D89))), "Tequila",
IF(OR(ISNUMBER(SEARCH("Rum", C89)), ISNUMBER(SEARCH("Rum", D89))), "Rum",
IF(OR(ISNUMBER(SEARCH("Whiskey", C89)), ISNUMBER(SEARCH("Whiskey", D89))), "Whiskey",
IF(OR(ISNUMBER(SEARCH("Gin", C89)), ISNUMBER(SEARCH("Gin", D89))), "Gin",
IF(OR(ISNUMBER(SEARCH("Liqueur", C89)), ISNUMBER(SEARCH("Liqueur", D89))), "Liqueur", "")))))</f>
        <v/>
      </c>
      <c r="C89" s="57" t="n"/>
      <c r="D89" s="60" t="inlineStr">
        <is>
          <t>Cierto Reposado Tequila (750mL) $90.05 1</t>
        </is>
      </c>
      <c r="E89" s="52" t="n">
        <v>750</v>
      </c>
      <c r="F89" s="51">
        <f>TRIM(MID(D89, FIND("$", D89), FIND(" ", D89, FIND("$", D89)) - FIND("$", D89))
)</f>
        <v/>
      </c>
      <c r="G89" s="53" t="n">
        <v>29.57</v>
      </c>
      <c r="H89" s="54">
        <f>SUM(E89/G89)</f>
        <v/>
      </c>
      <c r="I89" s="104">
        <f>SUM(F89/H89)</f>
        <v/>
      </c>
      <c r="J89" s="105">
        <f>SUM(4*I89)</f>
        <v/>
      </c>
      <c r="K89" s="100">
        <f>SUM(I89*1.5)</f>
        <v/>
      </c>
      <c r="L89" s="101">
        <f>SUM(K89*4)</f>
        <v/>
      </c>
      <c r="M89" s="102">
        <f>SUM(I89*2)</f>
        <v/>
      </c>
      <c r="N89" s="103">
        <f>SUM(M89*4)</f>
        <v/>
      </c>
    </row>
    <row r="90" ht="15.75" customHeight="1">
      <c r="A90" s="35" t="n">
        <v>100</v>
      </c>
      <c r="B90" s="49">
        <f>IF(OR(ISNUMBER(SEARCH("Tequila", C90)), ISNUMBER(SEARCH("Tequila", D90))), "Tequila",
IF(OR(ISNUMBER(SEARCH("Rum", C90)), ISNUMBER(SEARCH("Rum", D90))), "Rum",
IF(OR(ISNUMBER(SEARCH("Whiskey", C90)), ISNUMBER(SEARCH("Whiskey", D90))), "Whiskey",
IF(OR(ISNUMBER(SEARCH("Gin", C90)), ISNUMBER(SEARCH("Gin", D90))), "Gin",
IF(OR(ISNUMBER(SEARCH("Liqueur", C90)), ISNUMBER(SEARCH("Liqueur", D90))), "Liqueur", "")))))</f>
        <v/>
      </c>
      <c r="C90" s="58" t="n"/>
      <c r="D90" s="51" t="inlineStr">
        <is>
          <t>Cimarron Blanco Tequila (1L/item) - $23.88 2</t>
        </is>
      </c>
      <c r="E90" s="52" t="n">
        <v>1000</v>
      </c>
      <c r="F90" s="51">
        <f>TRIM(MID(D90, FIND("$", D90), FIND(" ", D90, FIND("$", D90)) - FIND("$", D90))
)</f>
        <v/>
      </c>
      <c r="G90" s="53" t="n">
        <v>29.57</v>
      </c>
      <c r="H90" s="54">
        <f>SUM(E90/G90)</f>
        <v/>
      </c>
      <c r="I90" s="104">
        <f>SUM(F90/H90)</f>
        <v/>
      </c>
      <c r="J90" s="105">
        <f>SUM(4*I90)</f>
        <v/>
      </c>
      <c r="K90" s="100">
        <f>SUM(I90*1.5)</f>
        <v/>
      </c>
      <c r="L90" s="101">
        <f>SUM(K90*4)</f>
        <v/>
      </c>
      <c r="M90" s="102">
        <f>SUM(I90*2)</f>
        <v/>
      </c>
      <c r="N90" s="103">
        <f>SUM(M90*4)</f>
        <v/>
      </c>
    </row>
    <row r="91" ht="15.75" customHeight="1">
      <c r="A91" s="35" t="n">
        <v>101</v>
      </c>
      <c r="B91" s="49">
        <f>IF(OR(ISNUMBER(SEARCH("Tequila", C91)), ISNUMBER(SEARCH("Tequila", D91))), "Tequila",
IF(OR(ISNUMBER(SEARCH("Rum", C91)), ISNUMBER(SEARCH("Rum", D91))), "Rum",
IF(OR(ISNUMBER(SEARCH("Whiskey", C91)), ISNUMBER(SEARCH("Whiskey", D91))), "Whiskey",
IF(OR(ISNUMBER(SEARCH("Gin", C91)), ISNUMBER(SEARCH("Gin", D91))), "Gin",
IF(OR(ISNUMBER(SEARCH("Liqueur", C91)), ISNUMBER(SEARCH("Liqueur", D91))), "Liqueur", "")))))</f>
        <v/>
      </c>
      <c r="C91" s="57" t="n"/>
      <c r="D91" s="51" t="inlineStr">
        <is>
          <t>Cimarron Reposado Tequila (1L/item) - $27.96 2</t>
        </is>
      </c>
      <c r="E91" s="52" t="n">
        <v>1000</v>
      </c>
      <c r="F91" s="51">
        <f>TRIM(MID(D91, FIND("$", D91), FIND(" ", D91, FIND("$", D91)) - FIND("$", D91))
)</f>
        <v/>
      </c>
      <c r="G91" s="53" t="n">
        <v>29.57</v>
      </c>
      <c r="H91" s="54">
        <f>SUM(E91/G91)</f>
        <v/>
      </c>
      <c r="I91" s="104">
        <f>SUM(F91/H91)</f>
        <v/>
      </c>
      <c r="J91" s="105">
        <f>SUM(4*I91)</f>
        <v/>
      </c>
      <c r="K91" s="100">
        <f>SUM(I91*1.5)</f>
        <v/>
      </c>
      <c r="L91" s="101">
        <f>SUM(K91*4)</f>
        <v/>
      </c>
      <c r="M91" s="102">
        <f>SUM(I91*2)</f>
        <v/>
      </c>
      <c r="N91" s="103">
        <f>SUM(M91*4)</f>
        <v/>
      </c>
    </row>
    <row r="92" ht="15.75" customHeight="1">
      <c r="A92" s="35" t="n">
        <v>38</v>
      </c>
      <c r="B92" s="49">
        <f>IF(OR(ISNUMBER(SEARCH("Tequila", C92)), ISNUMBER(SEARCH("Tequila", D92))), "Tequila",
IF(OR(ISNUMBER(SEARCH("Rum", C92)), ISNUMBER(SEARCH("Rum", D92))), "Rum",
IF(OR(ISNUMBER(SEARCH("Whiskey", C92)), ISNUMBER(SEARCH("Whiskey", D92))), "Whiskey",
IF(OR(ISNUMBER(SEARCH("Gin", C92)), ISNUMBER(SEARCH("Gin", D92))), "Gin",
IF(OR(ISNUMBER(SEARCH("Liqueur", C92)), ISNUMBER(SEARCH("Liqueur", D92))), "Liqueur", "")))))</f>
        <v/>
      </c>
      <c r="C92" s="58" t="n"/>
      <c r="D92" s="51" t="inlineStr">
        <is>
          <t>Cincoro Blanco Tequila (750mL / item) $76.16 1</t>
        </is>
      </c>
      <c r="E92" s="52" t="n">
        <v>750</v>
      </c>
      <c r="F92" s="51">
        <f>TRIM(MID(D92, FIND("$", D92), FIND(" ", D92, FIND("$", D92)) - FIND("$", D92))
)</f>
        <v/>
      </c>
      <c r="G92" s="53" t="n">
        <v>29.57</v>
      </c>
      <c r="H92" s="54">
        <f>SUM(E92/G92)</f>
        <v/>
      </c>
      <c r="I92" s="104">
        <f>SUM(F92/H92)</f>
        <v/>
      </c>
      <c r="J92" s="105">
        <f>SUM(4*I92)</f>
        <v/>
      </c>
      <c r="K92" s="100">
        <f>SUM(I92*1.5)</f>
        <v/>
      </c>
      <c r="L92" s="101">
        <f>SUM(K92*4)</f>
        <v/>
      </c>
      <c r="M92" s="102">
        <f>SUM(I92*2)</f>
        <v/>
      </c>
      <c r="N92" s="103">
        <f>SUM(M92*4)</f>
        <v/>
      </c>
    </row>
    <row r="93" ht="15.75" customHeight="1">
      <c r="A93" s="35" t="n">
        <v>37</v>
      </c>
      <c r="B93" s="49">
        <f>IF(OR(ISNUMBER(SEARCH("Tequila", C93)), ISNUMBER(SEARCH("Tequila", D93))), "Tequila",
IF(OR(ISNUMBER(SEARCH("Rum", C93)), ISNUMBER(SEARCH("Rum", D93))), "Rum",
IF(OR(ISNUMBER(SEARCH("Whiskey", C93)), ISNUMBER(SEARCH("Whiskey", D93))), "Whiskey",
IF(OR(ISNUMBER(SEARCH("Gin", C93)), ISNUMBER(SEARCH("Gin", D93))), "Gin",
IF(OR(ISNUMBER(SEARCH("Liqueur", C93)), ISNUMBER(SEARCH("Liqueur", D93))), "Liqueur", "")))))</f>
        <v/>
      </c>
      <c r="C93" s="52" t="n"/>
      <c r="D93" s="51" t="inlineStr">
        <is>
          <t>Cincoro Gold Tequila (750mL Jitem) $296.63 1</t>
        </is>
      </c>
      <c r="E93" s="52" t="n">
        <v>750</v>
      </c>
      <c r="F93" s="51">
        <f>TRIM(MID(D93, FIND("$", D93), FIND(" ", D93, FIND("$", D93)) - FIND("$", D93))
)</f>
        <v/>
      </c>
      <c r="G93" s="53" t="n">
        <v>29.57</v>
      </c>
      <c r="H93" s="54">
        <f>SUM(E93/G93)</f>
        <v/>
      </c>
      <c r="I93" s="104">
        <f>SUM(F93/H93)</f>
        <v/>
      </c>
      <c r="J93" s="105">
        <f>SUM(4*I93)</f>
        <v/>
      </c>
      <c r="K93" s="100">
        <f>SUM(I93*1.5)</f>
        <v/>
      </c>
      <c r="L93" s="101">
        <f>SUM(K93*4)</f>
        <v/>
      </c>
      <c r="M93" s="102">
        <f>SUM(I93*2)</f>
        <v/>
      </c>
      <c r="N93" s="103">
        <f>SUM(M93*4)</f>
        <v/>
      </c>
    </row>
    <row r="94" ht="15.75" customHeight="1">
      <c r="A94" s="35" t="n">
        <v>32</v>
      </c>
      <c r="B94" s="49">
        <f>IF(OR(ISNUMBER(SEARCH("Tequila", C94)), ISNUMBER(SEARCH("Tequila", D94))), "Tequila",
IF(OR(ISNUMBER(SEARCH("Rum", C94)), ISNUMBER(SEARCH("Rum", D94))), "Rum",
IF(OR(ISNUMBER(SEARCH("Whiskey", C94)), ISNUMBER(SEARCH("Whiskey", D94))), "Whiskey",
IF(OR(ISNUMBER(SEARCH("Gin", C94)), ISNUMBER(SEARCH("Gin", D94))), "Gin",
IF(OR(ISNUMBER(SEARCH("Liqueur", C94)), ISNUMBER(SEARCH("Liqueur", D94))), "Liqueur", "")))))</f>
        <v/>
      </c>
      <c r="C94" s="52" t="n"/>
      <c r="D94" s="51" t="inlineStr">
        <is>
          <t>Ciroc Vodka (750mL / item) $33.68 1</t>
        </is>
      </c>
      <c r="E94" s="52" t="n">
        <v>750</v>
      </c>
      <c r="F94" s="51">
        <f>TRIM(MID(D94, FIND("$", D94), FIND(" ", D94, FIND("$", D94)) - FIND("$", D94))
)</f>
        <v/>
      </c>
      <c r="G94" s="53" t="n">
        <v>29.57</v>
      </c>
      <c r="H94" s="54">
        <f>SUM(E94/G94)</f>
        <v/>
      </c>
      <c r="I94" s="104">
        <f>SUM(F94/H94)</f>
        <v/>
      </c>
      <c r="J94" s="105">
        <f>SUM(4*I94)</f>
        <v/>
      </c>
      <c r="K94" s="100">
        <f>SUM(I94*1.5)</f>
        <v/>
      </c>
      <c r="L94" s="101">
        <f>SUM(K94*4)</f>
        <v/>
      </c>
      <c r="M94" s="102">
        <f>SUM(I94*2)</f>
        <v/>
      </c>
      <c r="N94" s="103">
        <f>SUM(M94*4)</f>
        <v/>
      </c>
    </row>
    <row r="95" ht="15.75" customHeight="1">
      <c r="A95" s="35" t="n">
        <v>102</v>
      </c>
      <c r="B95" s="49">
        <f>IF(OR(ISNUMBER(SEARCH("Tequila", C95)), ISNUMBER(SEARCH("Tequila", D95))), "Tequila",
IF(OR(ISNUMBER(SEARCH("Rum", C95)), ISNUMBER(SEARCH("Rum", D95))), "Rum",
IF(OR(ISNUMBER(SEARCH("Whiskey", C95)), ISNUMBER(SEARCH("Whiskey", D95))), "Whiskey",
IF(OR(ISNUMBER(SEARCH("Gin", C95)), ISNUMBER(SEARCH("Gin", D95))), "Gin",
IF(OR(ISNUMBER(SEARCH("Liqueur", C95)), ISNUMBER(SEARCH("Liqueur", D95))), "Liqueur", "")))))</f>
        <v/>
      </c>
      <c r="C95" s="52" t="n"/>
      <c r="D95" s="51" t="inlineStr">
        <is>
          <t>Clase Azul Anejo Tequila (750ML/item) - $460.20 8</t>
        </is>
      </c>
      <c r="E95" s="52" t="n">
        <v>750</v>
      </c>
      <c r="F95" s="51">
        <f>TRIM(MID(D95, FIND("$", D95), FIND(" ", D95, FIND("$", D95)) - FIND("$", D95))
)</f>
        <v/>
      </c>
      <c r="G95" s="53" t="n">
        <v>29.57</v>
      </c>
      <c r="H95" s="54">
        <f>SUM(E95/G95)</f>
        <v/>
      </c>
      <c r="I95" s="104">
        <f>SUM(F95/H95)</f>
        <v/>
      </c>
      <c r="J95" s="105">
        <f>SUM(4*I95)</f>
        <v/>
      </c>
      <c r="K95" s="100">
        <f>SUM(I95*1.5)</f>
        <v/>
      </c>
      <c r="L95" s="101">
        <f>SUM(K95*4)</f>
        <v/>
      </c>
      <c r="M95" s="102">
        <f>SUM(I95*2)</f>
        <v/>
      </c>
      <c r="N95" s="103">
        <f>SUM(M95*4)</f>
        <v/>
      </c>
    </row>
    <row r="96" ht="15.75" customHeight="1">
      <c r="A96" s="35" t="n">
        <v>103</v>
      </c>
      <c r="B96" s="49">
        <f>IF(OR(ISNUMBER(SEARCH("Tequila", C96)), ISNUMBER(SEARCH("Tequila", D96))), "Tequila",
IF(OR(ISNUMBER(SEARCH("Rum", C96)), ISNUMBER(SEARCH("Rum", D96))), "Rum",
IF(OR(ISNUMBER(SEARCH("Whiskey", C96)), ISNUMBER(SEARCH("Whiskey", D96))), "Whiskey",
IF(OR(ISNUMBER(SEARCH("Gin", C96)), ISNUMBER(SEARCH("Gin", D96))), "Gin",
IF(OR(ISNUMBER(SEARCH("Liqueur", C96)), ISNUMBER(SEARCH("Liqueur", D96))), "Liqueur", "")))))</f>
        <v/>
      </c>
      <c r="C96" s="52" t="n"/>
      <c r="D96" s="51" t="inlineStr">
        <is>
          <t>Clase Azul Gold Tequila (750mL/item) - $186.47 6</t>
        </is>
      </c>
      <c r="E96" s="52" t="n">
        <v>750</v>
      </c>
      <c r="F96" s="51">
        <f>TRIM(MID(D96, FIND("$", D96), FIND(" ", D96, FIND("$", D96)) - FIND("$", D96))
)</f>
        <v/>
      </c>
      <c r="G96" s="53" t="n">
        <v>29.57</v>
      </c>
      <c r="H96" s="54">
        <f>SUM(E96/G96)</f>
        <v/>
      </c>
      <c r="I96" s="104">
        <f>SUM(F96/H96)</f>
        <v/>
      </c>
      <c r="J96" s="105">
        <f>SUM(4*I96)</f>
        <v/>
      </c>
      <c r="K96" s="100">
        <f>SUM(I96*1.5)</f>
        <v/>
      </c>
      <c r="L96" s="101">
        <f>SUM(K96*4)</f>
        <v/>
      </c>
      <c r="M96" s="102">
        <f>SUM(I96*2)</f>
        <v/>
      </c>
      <c r="N96" s="103">
        <f>SUM(M96*4)</f>
        <v/>
      </c>
    </row>
    <row r="97" ht="15.75" customHeight="1">
      <c r="A97" s="35" t="n">
        <v>104</v>
      </c>
      <c r="B97" s="49">
        <f>IF(OR(ISNUMBER(SEARCH("Tequila", C97)), ISNUMBER(SEARCH("Tequila", D97))), "Tequila",
IF(OR(ISNUMBER(SEARCH("Rum", C97)), ISNUMBER(SEARCH("Rum", D97))), "Rum",
IF(OR(ISNUMBER(SEARCH("Whiskey", C97)), ISNUMBER(SEARCH("Whiskey", D97))), "Whiskey",
IF(OR(ISNUMBER(SEARCH("Gin", C97)), ISNUMBER(SEARCH("Gin", D97))), "Gin",
IF(OR(ISNUMBER(SEARCH("Liqueur", C97)), ISNUMBER(SEARCH("Liqueur", D97))), "Liqueur", "")))))</f>
        <v/>
      </c>
      <c r="C97" s="58" t="n"/>
      <c r="D97" s="51" t="inlineStr">
        <is>
          <t>Clase Azul Plata Tequila (750mL/item) - $130.74 4</t>
        </is>
      </c>
      <c r="E97" s="52" t="n">
        <v>750</v>
      </c>
      <c r="F97" s="51">
        <f>TRIM(MID(D97, FIND("$", D97), FIND(" ", D97, FIND("$", D97)) - FIND("$", D97))
)</f>
        <v/>
      </c>
      <c r="G97" s="53" t="n">
        <v>29.57</v>
      </c>
      <c r="H97" s="54">
        <f>SUM(E97/G97)</f>
        <v/>
      </c>
      <c r="I97" s="104">
        <f>SUM(F97/H97)</f>
        <v/>
      </c>
      <c r="J97" s="105">
        <f>SUM(4*I97)</f>
        <v/>
      </c>
      <c r="K97" s="100">
        <f>SUM(I97*1.5)</f>
        <v/>
      </c>
      <c r="L97" s="101">
        <f>SUM(K97*4)</f>
        <v/>
      </c>
      <c r="M97" s="102">
        <f>SUM(I97*2)</f>
        <v/>
      </c>
      <c r="N97" s="103">
        <f>SUM(M97*4)</f>
        <v/>
      </c>
    </row>
    <row r="98" ht="15.75" customHeight="1">
      <c r="A98" s="35" t="n">
        <v>105</v>
      </c>
      <c r="B98" s="49">
        <f>IF(OR(ISNUMBER(SEARCH("Tequila", C98)), ISNUMBER(SEARCH("Tequila", D98))), "Tequila",
IF(OR(ISNUMBER(SEARCH("Rum", C98)), ISNUMBER(SEARCH("Rum", D98))), "Rum",
IF(OR(ISNUMBER(SEARCH("Whiskey", C98)), ISNUMBER(SEARCH("Whiskey", D98))), "Whiskey",
IF(OR(ISNUMBER(SEARCH("Gin", C98)), ISNUMBER(SEARCH("Gin", D98))), "Gin",
IF(OR(ISNUMBER(SEARCH("Liqueur", C98)), ISNUMBER(SEARCH("Liqueur", D98))), "Liqueur", "")))))</f>
        <v/>
      </c>
      <c r="C98" s="57" t="n"/>
      <c r="D98" s="51" t="inlineStr">
        <is>
          <t>Clase Azul Reposado (750mL/item) - $163.42 8</t>
        </is>
      </c>
      <c r="E98" s="52" t="n">
        <v>750</v>
      </c>
      <c r="F98" s="51">
        <f>TRIM(MID(D98, FIND("$", D98), FIND(" ", D98, FIND("$", D98)) - FIND("$", D98))
)</f>
        <v/>
      </c>
      <c r="G98" s="53" t="n">
        <v>29.57</v>
      </c>
      <c r="H98" s="54">
        <f>SUM(E98/G98)</f>
        <v/>
      </c>
      <c r="I98" s="104">
        <f>SUM(F98/H98)</f>
        <v/>
      </c>
      <c r="J98" s="105">
        <f>SUM(4*I98)</f>
        <v/>
      </c>
      <c r="K98" s="100">
        <f>SUM(I98*1.5)</f>
        <v/>
      </c>
      <c r="L98" s="101">
        <f>SUM(K98*4)</f>
        <v/>
      </c>
      <c r="M98" s="102">
        <f>SUM(I98*2)</f>
        <v/>
      </c>
      <c r="N98" s="103">
        <f>SUM(M98*4)</f>
        <v/>
      </c>
    </row>
    <row r="99" ht="15.75" customHeight="1">
      <c r="A99" s="35" t="n">
        <v>290</v>
      </c>
      <c r="B99" s="49">
        <f>IF(OR(ISNUMBER(SEARCH("Tequila", C99)), ISNUMBER(SEARCH("Tequila", D99))), "Tequila",
IF(OR(ISNUMBER(SEARCH("Rum", C99)), ISNUMBER(SEARCH("Rum", D99))), "Rum",
IF(OR(ISNUMBER(SEARCH("Whiskey", C99)), ISNUMBER(SEARCH("Whiskey", D99))), "Whiskey",
IF(OR(ISNUMBER(SEARCH("Gin", C99)), ISNUMBER(SEARCH("Gin", D99))), "Gin",
IF(OR(ISNUMBER(SEARCH("Liqueur", C99)), ISNUMBER(SEARCH("Liqueur", D99))), "Liqueur", "")))))</f>
        <v/>
      </c>
      <c r="C99" s="52" t="n"/>
      <c r="D99" s="51" t="n"/>
      <c r="E99" s="52" t="n"/>
      <c r="F99" s="51" t="n"/>
      <c r="G99" s="53" t="n"/>
      <c r="H99" s="54" t="n"/>
      <c r="I99" s="104" t="n"/>
      <c r="J99" s="105" t="n"/>
      <c r="K99" s="100" t="n"/>
      <c r="L99" s="101" t="n"/>
      <c r="M99" s="102" t="n"/>
      <c r="N99" s="103" t="n"/>
    </row>
    <row r="100" ht="15.75" customHeight="1">
      <c r="A100" s="35" t="n">
        <v>263</v>
      </c>
      <c r="B100" s="49">
        <f>IF(OR(ISNUMBER(SEARCH("Tequila", C100)), ISNUMBER(SEARCH("Tequila", D100))), "Tequila",
IF(OR(ISNUMBER(SEARCH("Rum", C100)), ISNUMBER(SEARCH("Rum", D100))), "Rum",
IF(OR(ISNUMBER(SEARCH("Whiskey", C100)), ISNUMBER(SEARCH("Whiskey", D100))), "Whiskey",
IF(OR(ISNUMBER(SEARCH("Gin", C100)), ISNUMBER(SEARCH("Gin", D100))), "Gin",
IF(OR(ISNUMBER(SEARCH("Liqueur", C100)), ISNUMBER(SEARCH("Liqueur", D100))), "Liqueur", "")))))</f>
        <v/>
      </c>
      <c r="C100" s="52" t="n"/>
      <c r="D100" s="51" t="n"/>
      <c r="E100" s="52" t="n"/>
      <c r="F100" s="51" t="n"/>
      <c r="G100" s="53" t="n"/>
      <c r="H100" s="54" t="n"/>
      <c r="I100" s="104" t="n"/>
      <c r="J100" s="105" t="n"/>
      <c r="K100" s="100" t="n"/>
      <c r="L100" s="101" t="n"/>
      <c r="M100" s="102" t="n"/>
      <c r="N100" s="103" t="n"/>
    </row>
    <row r="101" ht="15.75" customHeight="1">
      <c r="A101" s="35" t="n">
        <v>106</v>
      </c>
      <c r="B101" s="49">
        <f>IF(OR(ISNUMBER(SEARCH("Tequila", C101)), ISNUMBER(SEARCH("Tequila", D101))), "Tequila",
IF(OR(ISNUMBER(SEARCH("Rum", C101)), ISNUMBER(SEARCH("Rum", D101))), "Rum",
IF(OR(ISNUMBER(SEARCH("Whiskey", C101)), ISNUMBER(SEARCH("Whiskey", D101))), "Whiskey",
IF(OR(ISNUMBER(SEARCH("Gin", C101)), ISNUMBER(SEARCH("Gin", D101))), "Gin",
IF(OR(ISNUMBER(SEARCH("Liqueur", C101)), ISNUMBER(SEARCH("Liqueur", D101))), "Liqueur", "")))))</f>
        <v/>
      </c>
      <c r="C101" s="52" t="n"/>
      <c r="D101" s="51" t="inlineStr">
        <is>
          <t>Codigo 1530 Blanco Rosa Tequila (750mL/item) - $53.28 1</t>
        </is>
      </c>
      <c r="E101" s="52" t="n">
        <v>750</v>
      </c>
      <c r="F101" s="51">
        <f>TRIM(MID(D101, FIND("$", D101), FIND(" ", D101, FIND("$", D101)) - FIND("$", D101))
)</f>
        <v/>
      </c>
      <c r="G101" s="53" t="n">
        <v>29.57</v>
      </c>
      <c r="H101" s="54">
        <f>SUM(E101/G101)</f>
        <v/>
      </c>
      <c r="I101" s="104">
        <f>SUM(F101/H101)</f>
        <v/>
      </c>
      <c r="J101" s="105">
        <f>SUM(4*I101)</f>
        <v/>
      </c>
      <c r="K101" s="100">
        <f>SUM(I101*1.5)</f>
        <v/>
      </c>
      <c r="L101" s="101">
        <f>SUM(K101*4)</f>
        <v/>
      </c>
      <c r="M101" s="102">
        <f>SUM(I101*2)</f>
        <v/>
      </c>
      <c r="N101" s="103">
        <f>SUM(M101*4)</f>
        <v/>
      </c>
    </row>
    <row r="102" ht="15.75" customHeight="1">
      <c r="A102" s="35" t="n">
        <v>107</v>
      </c>
      <c r="B102" s="49">
        <f>IF(OR(ISNUMBER(SEARCH("Tequila", C102)), ISNUMBER(SEARCH("Tequila", D102))), "Tequila",
IF(OR(ISNUMBER(SEARCH("Rum", C102)), ISNUMBER(SEARCH("Rum", D102))), "Rum",
IF(OR(ISNUMBER(SEARCH("Whiskey", C102)), ISNUMBER(SEARCH("Whiskey", D102))), "Whiskey",
IF(OR(ISNUMBER(SEARCH("Gin", C102)), ISNUMBER(SEARCH("Gin", D102))), "Gin",
IF(OR(ISNUMBER(SEARCH("Liqueur", C102)), ISNUMBER(SEARCH("Liqueur", D102))), "Liqueur", "")))))</f>
        <v/>
      </c>
      <c r="C102" s="58" t="n"/>
      <c r="D102" s="51" t="inlineStr">
        <is>
          <t>Codigo 1530 Blanco Tequila (750mL/item) - $41.02 1</t>
        </is>
      </c>
      <c r="E102" s="52" t="n">
        <v>750</v>
      </c>
      <c r="F102" s="51">
        <f>TRIM(MID(D102, FIND("$", D102), FIND(" ", D102, FIND("$", D102)) - FIND("$", D102))
)</f>
        <v/>
      </c>
      <c r="G102" s="53" t="n">
        <v>29.57</v>
      </c>
      <c r="H102" s="54">
        <f>SUM(E102/G102)</f>
        <v/>
      </c>
      <c r="I102" s="104">
        <f>SUM(F102/H102)</f>
        <v/>
      </c>
      <c r="J102" s="105">
        <f>SUM(4*I102)</f>
        <v/>
      </c>
      <c r="K102" s="100">
        <f>SUM(I102*1.5)</f>
        <v/>
      </c>
      <c r="L102" s="101">
        <f>SUM(K102*4)</f>
        <v/>
      </c>
      <c r="M102" s="102">
        <f>SUM(I102*2)</f>
        <v/>
      </c>
      <c r="N102" s="103">
        <f>SUM(M102*4)</f>
        <v/>
      </c>
    </row>
    <row r="103" ht="15.75" customHeight="1">
      <c r="A103" s="35" t="n">
        <v>108</v>
      </c>
      <c r="B103" s="49">
        <f>IF(OR(ISNUMBER(SEARCH("Tequila", C103)), ISNUMBER(SEARCH("Tequila", D103))), "Tequila",
IF(OR(ISNUMBER(SEARCH("Rum", C103)), ISNUMBER(SEARCH("Rum", D103))), "Rum",
IF(OR(ISNUMBER(SEARCH("Whiskey", C103)), ISNUMBER(SEARCH("Whiskey", D103))), "Whiskey",
IF(OR(ISNUMBER(SEARCH("Gin", C103)), ISNUMBER(SEARCH("Gin", D103))), "Gin",
IF(OR(ISNUMBER(SEARCH("Liqueur", C103)), ISNUMBER(SEARCH("Liqueur", D103))), "Liqueur", "")))))</f>
        <v/>
      </c>
      <c r="C103" s="52" t="n"/>
      <c r="D103" s="51" t="inlineStr">
        <is>
          <t>Codigo 1530 George Strait Rosa Reposado Tequila (750mL/item) - $64.20 1</t>
        </is>
      </c>
      <c r="E103" s="52" t="n">
        <v>750</v>
      </c>
      <c r="F103" s="51">
        <f>TRIM(MID(D103, FIND("$", D103), FIND(" ", D103, FIND("$", D103)) - FIND("$", D103))
)</f>
        <v/>
      </c>
      <c r="G103" s="53" t="n">
        <v>29.57</v>
      </c>
      <c r="H103" s="54">
        <f>SUM(E103/G103)</f>
        <v/>
      </c>
      <c r="I103" s="104">
        <f>SUM(F103/H103)</f>
        <v/>
      </c>
      <c r="J103" s="105">
        <f>SUM(4*I103)</f>
        <v/>
      </c>
      <c r="K103" s="100">
        <f>SUM(I103*1.5)</f>
        <v/>
      </c>
      <c r="L103" s="101">
        <f>SUM(K103*4)</f>
        <v/>
      </c>
      <c r="M103" s="102">
        <f>SUM(I103*2)</f>
        <v/>
      </c>
      <c r="N103" s="103">
        <f>SUM(M103*4)</f>
        <v/>
      </c>
    </row>
    <row r="104" ht="15.75" customHeight="1">
      <c r="A104" s="59" t="n"/>
      <c r="B104" s="49">
        <f>IF(OR(ISNUMBER(SEARCH("Tequila", C104)), ISNUMBER(SEARCH("Tequila", D104))), "Tequila",
IF(OR(ISNUMBER(SEARCH("Rum", C104)), ISNUMBER(SEARCH("Rum", D104))), "Rum",
IF(OR(ISNUMBER(SEARCH("Whiskey", C104)), ISNUMBER(SEARCH("Whiskey", D104))), "Whiskey",
IF(OR(ISNUMBER(SEARCH("Gin", C104)), ISNUMBER(SEARCH("Gin", D104))), "Gin",
IF(OR(ISNUMBER(SEARCH("Liqueur", C104)), ISNUMBER(SEARCH("Liqueur", D104))), "Liqueur", "")))))</f>
        <v/>
      </c>
      <c r="C104" s="57" t="n"/>
      <c r="D104" s="60" t="inlineStr">
        <is>
          <t>Codigo 1530 Reposado Tequila (750mL) $57.36 1</t>
        </is>
      </c>
      <c r="E104" s="52" t="n">
        <v>750</v>
      </c>
      <c r="F104" s="51">
        <f>TRIM(MID(D104, FIND("$", D104), FIND(" ", D104, FIND("$", D104)) - FIND("$", D104))
)</f>
        <v/>
      </c>
      <c r="G104" s="53" t="n">
        <v>29.57</v>
      </c>
      <c r="H104" s="54">
        <f>SUM(E104/G104)</f>
        <v/>
      </c>
      <c r="I104" s="104">
        <f>SUM(F104/H104)</f>
        <v/>
      </c>
      <c r="J104" s="105">
        <f>SUM(4*I104)</f>
        <v/>
      </c>
      <c r="K104" s="100">
        <f>SUM(I104*1.5)</f>
        <v/>
      </c>
      <c r="L104" s="101">
        <f>SUM(K104*4)</f>
        <v/>
      </c>
      <c r="M104" s="102">
        <f>SUM(I104*2)</f>
        <v/>
      </c>
      <c r="N104" s="103">
        <f>SUM(M104*4)</f>
        <v/>
      </c>
    </row>
    <row r="105" ht="15.75" customHeight="1">
      <c r="A105" s="35" t="n">
        <v>21</v>
      </c>
      <c r="B105" s="49">
        <f>IF(OR(ISNUMBER(SEARCH("Tequila", C105)), ISNUMBER(SEARCH("Tequila", D105))), "Tequila",
IF(OR(ISNUMBER(SEARCH("Rum", C105)), ISNUMBER(SEARCH("Rum", D105))), "Rum",
IF(OR(ISNUMBER(SEARCH("Whiskey", C105)), ISNUMBER(SEARCH("Whiskey", D105))), "Whiskey",
IF(OR(ISNUMBER(SEARCH("Gin", C105)), ISNUMBER(SEARCH("Gin", D105))), "Gin",
IF(OR(ISNUMBER(SEARCH("Liqueur", C105)), ISNUMBER(SEARCH("Liqueur", D105))), "Liqueur", "")))))</f>
        <v/>
      </c>
      <c r="C105" s="52" t="n"/>
      <c r="D105" s="51" t="inlineStr">
        <is>
          <t>Combier D'Orange Liqueur (1L / item) $31.23 3</t>
        </is>
      </c>
      <c r="E105" s="52" t="n">
        <v>750</v>
      </c>
      <c r="F105" s="51">
        <f>TRIM(MID(D105, FIND("$", D105), FIND(" ", D105, FIND("$", D105)) - FIND("$", D105))
)</f>
        <v/>
      </c>
      <c r="G105" s="53" t="n">
        <v>29.57</v>
      </c>
      <c r="H105" s="54">
        <f>SUM(E105/G105)</f>
        <v/>
      </c>
      <c r="I105" s="104">
        <f>SUM(F105/H105)</f>
        <v/>
      </c>
      <c r="J105" s="105">
        <f>SUM(4*I105)</f>
        <v/>
      </c>
      <c r="K105" s="100">
        <f>SUM(I105*1.5)</f>
        <v/>
      </c>
      <c r="L105" s="101">
        <f>SUM(K105*4)</f>
        <v/>
      </c>
      <c r="M105" s="102">
        <f>SUM(I105*2)</f>
        <v/>
      </c>
      <c r="N105" s="103">
        <f>SUM(M105*4)</f>
        <v/>
      </c>
    </row>
    <row r="106" ht="15.75" customHeight="1">
      <c r="A106" s="35" t="n">
        <v>20</v>
      </c>
      <c r="B106" s="49">
        <f>IF(OR(ISNUMBER(SEARCH("Tequila", C106)), ISNUMBER(SEARCH("Tequila", D106))), "Tequila",
IF(OR(ISNUMBER(SEARCH("Rum", C106)), ISNUMBER(SEARCH("Rum", D106))), "Rum",
IF(OR(ISNUMBER(SEARCH("Whiskey", C106)), ISNUMBER(SEARCH("Whiskey", D106))), "Whiskey",
IF(OR(ISNUMBER(SEARCH("Gin", C106)), ISNUMBER(SEARCH("Gin", D106))), "Gin",
IF(OR(ISNUMBER(SEARCH("Liqueur", C106)), ISNUMBER(SEARCH("Liqueur", D106))), "Liqueur", "")))))</f>
        <v/>
      </c>
      <c r="C106" s="52" t="n"/>
      <c r="D106" s="51" t="inlineStr">
        <is>
          <t>Combier Pasteque Liqueur (750ML / item) $25.52 3</t>
        </is>
      </c>
      <c r="E106" s="52" t="n">
        <v>750</v>
      </c>
      <c r="F106" s="51">
        <f>TRIM(MID(D106, FIND("$", D106), FIND(" ", D106, FIND("$", D106)) - FIND("$", D106))
)</f>
        <v/>
      </c>
      <c r="G106" s="53" t="n">
        <v>29.57</v>
      </c>
      <c r="H106" s="54">
        <f>SUM(E106/G106)</f>
        <v/>
      </c>
      <c r="I106" s="104">
        <f>SUM(F106/H106)</f>
        <v/>
      </c>
      <c r="J106" s="105">
        <f>SUM(4*I106)</f>
        <v/>
      </c>
      <c r="K106" s="100">
        <f>SUM(I106*1.5)</f>
        <v/>
      </c>
      <c r="L106" s="101">
        <f>SUM(K106*4)</f>
        <v/>
      </c>
      <c r="M106" s="102">
        <f>SUM(I106*2)</f>
        <v/>
      </c>
      <c r="N106" s="103">
        <f>SUM(M106*4)</f>
        <v/>
      </c>
    </row>
    <row r="107" ht="15.75" customHeight="1">
      <c r="A107" s="59" t="n"/>
      <c r="B107" s="49">
        <f>IF(OR(ISNUMBER(SEARCH("Tequila", C107)), ISNUMBER(SEARCH("Tequila", D107))), "Tequila",
IF(OR(ISNUMBER(SEARCH("Rum", C107)), ISNUMBER(SEARCH("Rum", D107))), "Rum",
IF(OR(ISNUMBER(SEARCH("Whiskey", C107)), ISNUMBER(SEARCH("Whiskey", D107))), "Whiskey",
IF(OR(ISNUMBER(SEARCH("Gin", C107)), ISNUMBER(SEARCH("Gin", D107))), "Gin",
IF(OR(ISNUMBER(SEARCH("Liqueur", C107)), ISNUMBER(SEARCH("Liqueur", D107))), "Liqueur", "")))))</f>
        <v/>
      </c>
      <c r="C107" s="52" t="n"/>
      <c r="D107" s="60" t="inlineStr">
        <is>
          <t>Comisario Anejo Tequila (750mL) $75.35 1</t>
        </is>
      </c>
      <c r="E107" s="52" t="n">
        <v>750</v>
      </c>
      <c r="F107" s="51">
        <f>TRIM(MID(D107, FIND("$", D107), FIND(" ", D107, FIND("$", D107)) - FIND("$", D107))
)</f>
        <v/>
      </c>
      <c r="G107" s="53" t="n">
        <v>29.57</v>
      </c>
      <c r="H107" s="54">
        <f>SUM(E107/G107)</f>
        <v/>
      </c>
      <c r="I107" s="104">
        <f>SUM(F107/H107)</f>
        <v/>
      </c>
      <c r="J107" s="105">
        <f>SUM(4*I107)</f>
        <v/>
      </c>
      <c r="K107" s="100">
        <f>SUM(I107*1.5)</f>
        <v/>
      </c>
      <c r="L107" s="101">
        <f>SUM(K107*4)</f>
        <v/>
      </c>
      <c r="M107" s="102">
        <f>SUM(I107*2)</f>
        <v/>
      </c>
      <c r="N107" s="103">
        <f>SUM(M107*4)</f>
        <v/>
      </c>
    </row>
    <row r="108" ht="15.75" customHeight="1">
      <c r="A108" s="59" t="n"/>
      <c r="B108" s="49">
        <f>IF(OR(ISNUMBER(SEARCH("Tequila", C108)), ISNUMBER(SEARCH("Tequila", D108))), "Tequila",
IF(OR(ISNUMBER(SEARCH("Rum", C108)), ISNUMBER(SEARCH("Rum", D108))), "Rum",
IF(OR(ISNUMBER(SEARCH("Whiskey", C108)), ISNUMBER(SEARCH("Whiskey", D108))), "Whiskey",
IF(OR(ISNUMBER(SEARCH("Gin", C108)), ISNUMBER(SEARCH("Gin", D108))), "Gin",
IF(OR(ISNUMBER(SEARCH("Liqueur", C108)), ISNUMBER(SEARCH("Liqueur", D108))), "Liqueur", "")))))</f>
        <v/>
      </c>
      <c r="C108" s="58" t="n"/>
      <c r="D108" s="60" t="inlineStr">
        <is>
          <t>Comisario Blanco Tequila (750mL) $42.79 1</t>
        </is>
      </c>
      <c r="E108" s="52" t="n">
        <v>750</v>
      </c>
      <c r="F108" s="51">
        <f>TRIM(MID(D108, FIND("$", D108), FIND(" ", D108, FIND("$", D108)) - FIND("$", D108))
)</f>
        <v/>
      </c>
      <c r="G108" s="53" t="n">
        <v>29.57</v>
      </c>
      <c r="H108" s="54">
        <f>SUM(E108/G108)</f>
        <v/>
      </c>
      <c r="I108" s="104">
        <f>SUM(F108/H108)</f>
        <v/>
      </c>
      <c r="J108" s="105">
        <f>SUM(4*I108)</f>
        <v/>
      </c>
      <c r="K108" s="100">
        <f>SUM(I108*1.5)</f>
        <v/>
      </c>
      <c r="L108" s="101">
        <f>SUM(K108*4)</f>
        <v/>
      </c>
      <c r="M108" s="102">
        <f>SUM(I108*2)</f>
        <v/>
      </c>
      <c r="N108" s="103">
        <f>SUM(M108*4)</f>
        <v/>
      </c>
    </row>
    <row r="109" ht="15.75" customHeight="1">
      <c r="A109" s="59" t="n"/>
      <c r="B109" s="49">
        <f>IF(OR(ISNUMBER(SEARCH("Tequila", C109)), ISNUMBER(SEARCH("Tequila", D109))), "Tequila",
IF(OR(ISNUMBER(SEARCH("Rum", C109)), ISNUMBER(SEARCH("Rum", D109))), "Rum",
IF(OR(ISNUMBER(SEARCH("Whiskey", C109)), ISNUMBER(SEARCH("Whiskey", D109))), "Whiskey",
IF(OR(ISNUMBER(SEARCH("Gin", C109)), ISNUMBER(SEARCH("Gin", D109))), "Gin",
IF(OR(ISNUMBER(SEARCH("Liqueur", C109)), ISNUMBER(SEARCH("Liqueur", D109))), "Liqueur", "")))))</f>
        <v/>
      </c>
      <c r="C109" s="57" t="n"/>
      <c r="D109" s="60" t="inlineStr">
        <is>
          <t>Comisario Reposado Tequila (750mL) $48.49 1</t>
        </is>
      </c>
      <c r="E109" s="52" t="n">
        <v>750</v>
      </c>
      <c r="F109" s="51">
        <f>TRIM(MID(D109, FIND("$", D109), FIND(" ", D109, FIND("$", D109)) - FIND("$", D109))
)</f>
        <v/>
      </c>
      <c r="G109" s="53" t="n">
        <v>29.57</v>
      </c>
      <c r="H109" s="54">
        <f>SUM(E109/G109)</f>
        <v/>
      </c>
      <c r="I109" s="104">
        <f>SUM(F109/H109)</f>
        <v/>
      </c>
      <c r="J109" s="105">
        <f>SUM(4*I109)</f>
        <v/>
      </c>
      <c r="K109" s="100">
        <f>SUM(I109*1.5)</f>
        <v/>
      </c>
      <c r="L109" s="101">
        <f>SUM(K109*4)</f>
        <v/>
      </c>
      <c r="M109" s="102">
        <f>SUM(I109*2)</f>
        <v/>
      </c>
      <c r="N109" s="103">
        <f>SUM(M109*4)</f>
        <v/>
      </c>
    </row>
    <row r="110" ht="15.75" customHeight="1">
      <c r="A110" s="35" t="n">
        <v>109</v>
      </c>
      <c r="B110" s="49">
        <f>IF(OR(ISNUMBER(SEARCH("Tequila", C110)), ISNUMBER(SEARCH("Tequila", D110))), "Tequila",
IF(OR(ISNUMBER(SEARCH("Rum", C110)), ISNUMBER(SEARCH("Rum", D110))), "Rum",
IF(OR(ISNUMBER(SEARCH("Whiskey", C110)), ISNUMBER(SEARCH("Whiskey", D110))), "Whiskey",
IF(OR(ISNUMBER(SEARCH("Gin", C110)), ISNUMBER(SEARCH("Gin", D110))), "Gin",
IF(OR(ISNUMBER(SEARCH("Liqueur", C110)), ISNUMBER(SEARCH("Liqueur", D110))), "Liqueur", "")))))</f>
        <v/>
      </c>
      <c r="C110" s="52" t="n"/>
      <c r="D110" s="51" t="inlineStr">
        <is>
          <t>Corralejo Anejo Tequila (750mL/item) - $39.40 2</t>
        </is>
      </c>
      <c r="E110" s="52" t="n">
        <v>750</v>
      </c>
      <c r="F110" s="51">
        <f>TRIM(MID(D110, FIND("$", D110), FIND(" ", D110, FIND("$", D110)) - FIND("$", D110))
)</f>
        <v/>
      </c>
      <c r="G110" s="53" t="n">
        <v>29.57</v>
      </c>
      <c r="H110" s="54">
        <f>SUM(E110/G110)</f>
        <v/>
      </c>
      <c r="I110" s="104">
        <f>SUM(F110/H110)</f>
        <v/>
      </c>
      <c r="J110" s="105">
        <f>SUM(4*I110)</f>
        <v/>
      </c>
      <c r="K110" s="100">
        <f>SUM(I110*1.5)</f>
        <v/>
      </c>
      <c r="L110" s="101">
        <f>SUM(K110*4)</f>
        <v/>
      </c>
      <c r="M110" s="102">
        <f>SUM(I110*2)</f>
        <v/>
      </c>
      <c r="N110" s="103">
        <f>SUM(M110*4)</f>
        <v/>
      </c>
    </row>
    <row r="111" ht="15.75" customHeight="1">
      <c r="A111" s="35" t="n">
        <v>110</v>
      </c>
      <c r="B111" s="49">
        <f>IF(OR(ISNUMBER(SEARCH("Tequila", C111)), ISNUMBER(SEARCH("Tequila", D111))), "Tequila",
IF(OR(ISNUMBER(SEARCH("Rum", C111)), ISNUMBER(SEARCH("Rum", D111))), "Rum",
IF(OR(ISNUMBER(SEARCH("Whiskey", C111)), ISNUMBER(SEARCH("Whiskey", D111))), "Whiskey",
IF(OR(ISNUMBER(SEARCH("Gin", C111)), ISNUMBER(SEARCH("Gin", D111))), "Gin",
IF(OR(ISNUMBER(SEARCH("Liqueur", C111)), ISNUMBER(SEARCH("Liqueur", D111))), "Liqueur", "")))))</f>
        <v/>
      </c>
      <c r="C111" s="58">
        <f>IF(OR(ISNUMBER(SEARCH("plata", D45)), ISNUMBER(SEARCH("blanco", D45)), ISNUMBER(SEARCH("silver", D45))), "Silver",
 IF(ISNUMBER(SEARCH("gold", D45)), "Gold",
 IF(ISNUMBER(SEARCH("reposado", D45)), "Reposado",
 IF(AND(ISNUMBER(SEARCH("anejo", D45)), NOT(ISNUMBER(SEARCH("extra anejo", D45)))), "Anejo",
 IF(ISNUMBER(SEARCH("extra anejo", D45)), "Extra Anejo", "")))))</f>
        <v/>
      </c>
      <c r="D111" s="51" t="inlineStr">
        <is>
          <t>Corralejo Blanco Tequila (750mL/item) - $29.59 2</t>
        </is>
      </c>
      <c r="E111" s="52" t="n">
        <v>750</v>
      </c>
      <c r="F111" s="51">
        <f>TRIM(MID(D111, FIND("$", D111), FIND(" ", D111, FIND("$", D111)) - FIND("$", D111))
)</f>
        <v/>
      </c>
      <c r="G111" s="53" t="n">
        <v>29.57</v>
      </c>
      <c r="H111" s="54">
        <f>SUM(E111/G111)</f>
        <v/>
      </c>
      <c r="I111" s="104">
        <f>SUM(F111/H111)</f>
        <v/>
      </c>
      <c r="J111" s="105">
        <f>SUM(4*I111)</f>
        <v/>
      </c>
      <c r="K111" s="100">
        <f>SUM(I111*1.5)</f>
        <v/>
      </c>
      <c r="L111" s="101">
        <f>SUM(K111*4)</f>
        <v/>
      </c>
      <c r="M111" s="102">
        <f>SUM(I111*2)</f>
        <v/>
      </c>
      <c r="N111" s="103">
        <f>SUM(M111*4)</f>
        <v/>
      </c>
    </row>
    <row r="112" ht="15.75" customHeight="1">
      <c r="A112" s="35" t="n">
        <v>111</v>
      </c>
      <c r="B112" s="49">
        <f>IF(OR(ISNUMBER(SEARCH("Tequila", C112)), ISNUMBER(SEARCH("Tequila", D112))), "Tequila",
IF(OR(ISNUMBER(SEARCH("Rum", C112)), ISNUMBER(SEARCH("Rum", D112))), "Rum",
IF(OR(ISNUMBER(SEARCH("Whiskey", C112)), ISNUMBER(SEARCH("Whiskey", D112))), "Whiskey",
IF(OR(ISNUMBER(SEARCH("Gin", C112)), ISNUMBER(SEARCH("Gin", D112))), "Gin",
IF(OR(ISNUMBER(SEARCH("Liqueur", C112)), ISNUMBER(SEARCH("Liqueur", D112))), "Liqueur", "")))))</f>
        <v/>
      </c>
      <c r="C112" s="50" t="n"/>
      <c r="D112" s="51" t="inlineStr">
        <is>
          <t>Corralejo Gran Reserva Anejo Tequila (1L/item) - $96.59 1</t>
        </is>
      </c>
      <c r="E112" s="52" t="n">
        <v>750</v>
      </c>
      <c r="F112" s="51">
        <f>TRIM(MID(D112, FIND("$", D112), FIND(" ", D112, FIND("$", D112)) - FIND("$", D112))
)</f>
        <v/>
      </c>
      <c r="G112" s="53" t="n">
        <v>29.57</v>
      </c>
      <c r="H112" s="54">
        <f>SUM(E112/G112)</f>
        <v/>
      </c>
      <c r="I112" s="104">
        <f>SUM(F112/H112)</f>
        <v/>
      </c>
      <c r="J112" s="105">
        <f>SUM(4*I112)</f>
        <v/>
      </c>
      <c r="K112" s="100">
        <f>SUM(I112*1.5)</f>
        <v/>
      </c>
      <c r="L112" s="101">
        <f>SUM(K112*4)</f>
        <v/>
      </c>
      <c r="M112" s="102">
        <f>SUM(I112*2)</f>
        <v/>
      </c>
      <c r="N112" s="103">
        <f>SUM(M112*4)</f>
        <v/>
      </c>
    </row>
    <row r="113" ht="15.75" customHeight="1">
      <c r="A113" s="35" t="n">
        <v>112</v>
      </c>
      <c r="B113" s="49">
        <f>IF(OR(ISNUMBER(SEARCH("Tequila", C113)), ISNUMBER(SEARCH("Tequila", D113))), "Tequila",
IF(OR(ISNUMBER(SEARCH("Rum", C113)), ISNUMBER(SEARCH("Rum", D113))), "Rum",
IF(OR(ISNUMBER(SEARCH("Whiskey", C113)), ISNUMBER(SEARCH("Whiskey", D113))), "Whiskey",
IF(OR(ISNUMBER(SEARCH("Gin", C113)), ISNUMBER(SEARCH("Gin", D113))), "Gin",
IF(OR(ISNUMBER(SEARCH("Liqueur", C113)), ISNUMBER(SEARCH("Liqueur", D113))), "Liqueur", "")))))</f>
        <v/>
      </c>
      <c r="C113" s="57" t="n"/>
      <c r="D113" s="51" t="inlineStr">
        <is>
          <t>Corralejo Reposado Tequila (750mL/item) - $31.22 1</t>
        </is>
      </c>
      <c r="E113" s="52" t="n">
        <v>750</v>
      </c>
      <c r="F113" s="51">
        <f>TRIM(MID(D113, FIND("$", D113), FIND(" ", D113, FIND("$", D113)) - FIND("$", D113))
)</f>
        <v/>
      </c>
      <c r="G113" s="53" t="n">
        <v>29.57</v>
      </c>
      <c r="H113" s="54">
        <f>SUM(E113/G113)</f>
        <v/>
      </c>
      <c r="I113" s="104">
        <f>SUM(F113/H113)</f>
        <v/>
      </c>
      <c r="J113" s="105">
        <f>SUM(4*I113)</f>
        <v/>
      </c>
      <c r="K113" s="100">
        <f>SUM(I113*1.5)</f>
        <v/>
      </c>
      <c r="L113" s="101">
        <f>SUM(K113*4)</f>
        <v/>
      </c>
      <c r="M113" s="102">
        <f>SUM(I113*2)</f>
        <v/>
      </c>
      <c r="N113" s="103">
        <f>SUM(M113*4)</f>
        <v/>
      </c>
    </row>
    <row r="114" ht="15.75" customHeight="1">
      <c r="A114" s="35" t="n">
        <v>325</v>
      </c>
      <c r="B114" s="49">
        <f>IF(OR(ISNUMBER(SEARCH("Tequila", C114)), ISNUMBER(SEARCH("Tequila", D114))), "Tequila",
IF(OR(ISNUMBER(SEARCH("Rum", C114)), ISNUMBER(SEARCH("Rum", D114))), "Rum",
IF(OR(ISNUMBER(SEARCH("Whiskey", C114)), ISNUMBER(SEARCH("Whiskey", D114))), "Whiskey",
IF(OR(ISNUMBER(SEARCH("Gin", C114)), ISNUMBER(SEARCH("Gin", D114))), "Gin",
IF(OR(ISNUMBER(SEARCH("Liqueur", C114)), ISNUMBER(SEARCH("Liqueur", D114))), "Liqueur", "")))))</f>
        <v/>
      </c>
      <c r="C114" s="52" t="n"/>
      <c r="D114" s="51" t="inlineStr">
        <is>
          <t>Crown Royal Canadian Whiskey NFD (750mL/item) - $26.96 2</t>
        </is>
      </c>
      <c r="E114" s="52" t="n">
        <v>750</v>
      </c>
      <c r="F114" s="51">
        <f>TRIM(MID(D114, FIND("$", D114), FIND(" ", D114, FIND("$", D114)) - FIND("$", D114))
)</f>
        <v/>
      </c>
      <c r="G114" s="53" t="n">
        <v>29.57</v>
      </c>
      <c r="H114" s="54">
        <f>SUM(E114/G114)</f>
        <v/>
      </c>
      <c r="I114" s="104">
        <f>SUM(F114/H114)</f>
        <v/>
      </c>
      <c r="J114" s="105">
        <f>SUM(4*I114)</f>
        <v/>
      </c>
      <c r="K114" s="100">
        <f>SUM(I114*1.5)</f>
        <v/>
      </c>
      <c r="L114" s="101">
        <f>SUM(K114*4)</f>
        <v/>
      </c>
      <c r="M114" s="102">
        <f>SUM(I114*2)</f>
        <v/>
      </c>
      <c r="N114" s="103">
        <f>SUM(M114*4)</f>
        <v/>
      </c>
    </row>
    <row r="115" ht="15.75" customHeight="1">
      <c r="A115" s="35" t="n">
        <v>31</v>
      </c>
      <c r="B115" s="49">
        <f>IF(OR(ISNUMBER(SEARCH("Tequila", C115)), ISNUMBER(SEARCH("Tequila", D115))), "Tequila",
IF(OR(ISNUMBER(SEARCH("Rum", C115)), ISNUMBER(SEARCH("Rum", D115))), "Rum",
IF(OR(ISNUMBER(SEARCH("Whiskey", C115)), ISNUMBER(SEARCH("Whiskey", D115))), "Whiskey",
IF(OR(ISNUMBER(SEARCH("Gin", C115)), ISNUMBER(SEARCH("Gin", D115))), "Gin",
IF(OR(ISNUMBER(SEARCH("Liqueur", C115)), ISNUMBER(SEARCH("Liqueur", D115))), "Liqueur", "")))))</f>
        <v/>
      </c>
      <c r="C115" s="52" t="n"/>
      <c r="D115" s="51" t="inlineStr">
        <is>
          <t>Crown Royal XO Canadian Whiskey (750mL / item) $29.42 2</t>
        </is>
      </c>
      <c r="E115" s="52" t="n">
        <v>750</v>
      </c>
      <c r="F115" s="51">
        <f>TRIM(MID(D115, FIND("$", D115), FIND(" ", D115, FIND("$", D115)) - FIND("$", D115))
)</f>
        <v/>
      </c>
      <c r="G115" s="53" t="n">
        <v>29.57</v>
      </c>
      <c r="H115" s="54">
        <f>SUM(E115/G115)</f>
        <v/>
      </c>
      <c r="I115" s="104">
        <f>SUM(F115/H115)</f>
        <v/>
      </c>
      <c r="J115" s="105">
        <f>SUM(4*I115)</f>
        <v/>
      </c>
      <c r="K115" s="100">
        <f>SUM(I115*1.5)</f>
        <v/>
      </c>
      <c r="L115" s="101">
        <f>SUM(K115*4)</f>
        <v/>
      </c>
      <c r="M115" s="102">
        <f>SUM(I115*2)</f>
        <v/>
      </c>
      <c r="N115" s="103">
        <f>SUM(M115*4)</f>
        <v/>
      </c>
    </row>
    <row r="116" ht="15.75" customHeight="1">
      <c r="A116" s="35" t="n">
        <v>30</v>
      </c>
      <c r="B116" s="49">
        <f>IF(OR(ISNUMBER(SEARCH("Tequila", C116)), ISNUMBER(SEARCH("Tequila", D116))), "Tequila",
IF(OR(ISNUMBER(SEARCH("Rum", C116)), ISNUMBER(SEARCH("Rum", D116))), "Rum",
IF(OR(ISNUMBER(SEARCH("Whiskey", C116)), ISNUMBER(SEARCH("Whiskey", D116))), "Whiskey",
IF(OR(ISNUMBER(SEARCH("Gin", C116)), ISNUMBER(SEARCH("Gin", D116))), "Gin",
IF(OR(ISNUMBER(SEARCH("Liqueur", C116)), ISNUMBER(SEARCH("Liqueur", D116))), "Liqueur", "")))))</f>
        <v/>
      </c>
      <c r="C116" s="52" t="n"/>
      <c r="D116" s="51" t="inlineStr">
        <is>
          <t>Denizen 100pf Dark Rum (750mL / item) $24.69 2</t>
        </is>
      </c>
      <c r="E116" s="52" t="n">
        <v>750</v>
      </c>
      <c r="F116" s="51">
        <f>TRIM(MID(D116, FIND("$", D116), FIND(" ", D116, FIND("$", D116)) - FIND("$", D116))
)</f>
        <v/>
      </c>
      <c r="G116" s="53" t="n">
        <v>29.57</v>
      </c>
      <c r="H116" s="54">
        <f>SUM(E116/G116)</f>
        <v/>
      </c>
      <c r="I116" s="104">
        <f>SUM(F116/H116)</f>
        <v/>
      </c>
      <c r="J116" s="105">
        <f>SUM(4*I116)</f>
        <v/>
      </c>
      <c r="K116" s="100">
        <f>SUM(I116*1.5)</f>
        <v/>
      </c>
      <c r="L116" s="101">
        <f>SUM(K116*4)</f>
        <v/>
      </c>
      <c r="M116" s="102">
        <f>SUM(I116*2)</f>
        <v/>
      </c>
      <c r="N116" s="103">
        <f>SUM(M116*4)</f>
        <v/>
      </c>
    </row>
    <row r="117" ht="15.75" customHeight="1">
      <c r="A117" s="35" t="n">
        <v>19</v>
      </c>
      <c r="B117" s="49">
        <f>IF(OR(ISNUMBER(SEARCH("Tequila", C117)), ISNUMBER(SEARCH("Tequila", D117))), "Tequila",
IF(OR(ISNUMBER(SEARCH("Rum", C117)), ISNUMBER(SEARCH("Rum", D117))), "Rum",
IF(OR(ISNUMBER(SEARCH("Whiskey", C117)), ISNUMBER(SEARCH("Whiskey", D117))), "Whiskey",
IF(OR(ISNUMBER(SEARCH("Gin", C117)), ISNUMBER(SEARCH("Gin", D117))), "Gin",
IF(OR(ISNUMBER(SEARCH("Liqueur", C117)), ISNUMBER(SEARCH("Liqueur", D117))), "Liqueur", "")))))</f>
        <v/>
      </c>
      <c r="C117" s="52" t="n"/>
      <c r="D117" s="51" t="inlineStr">
        <is>
          <t>Doc Swinson Session Bourbon Whiskey (750mL / item) $28.88 3</t>
        </is>
      </c>
      <c r="E117" s="52" t="n">
        <v>750</v>
      </c>
      <c r="F117" s="51">
        <f>TRIM(MID(D117, FIND("$", D117), FIND(" ", D117, FIND("$", D117)) - FIND("$", D117))
)</f>
        <v/>
      </c>
      <c r="G117" s="53" t="n">
        <v>29.57</v>
      </c>
      <c r="H117" s="54">
        <f>SUM(E117/G117)</f>
        <v/>
      </c>
      <c r="I117" s="104">
        <f>SUM(F117/H117)</f>
        <v/>
      </c>
      <c r="J117" s="105">
        <f>SUM(4*I117)</f>
        <v/>
      </c>
      <c r="K117" s="100">
        <f>SUM(I117*1.5)</f>
        <v/>
      </c>
      <c r="L117" s="101">
        <f>SUM(K117*4)</f>
        <v/>
      </c>
      <c r="M117" s="102">
        <f>SUM(I117*2)</f>
        <v/>
      </c>
      <c r="N117" s="103">
        <f>SUM(M117*4)</f>
        <v/>
      </c>
    </row>
    <row r="118" ht="15.75" customHeight="1">
      <c r="A118" s="35" t="n">
        <v>291</v>
      </c>
      <c r="B118" s="49">
        <f>IF(OR(ISNUMBER(SEARCH("Tequila", C118)), ISNUMBER(SEARCH("Tequila", D118))), "Tequila",
IF(OR(ISNUMBER(SEARCH("Rum", C118)), ISNUMBER(SEARCH("Rum", D118))), "Rum",
IF(OR(ISNUMBER(SEARCH("Whiskey", C118)), ISNUMBER(SEARCH("Whiskey", D118))), "Whiskey",
IF(OR(ISNUMBER(SEARCH("Gin", C118)), ISNUMBER(SEARCH("Gin", D118))), "Gin",
IF(OR(ISNUMBER(SEARCH("Liqueur", C118)), ISNUMBER(SEARCH("Liqueur", D118))), "Liqueur", "")))))</f>
        <v/>
      </c>
      <c r="C118" s="52" t="n"/>
      <c r="D118" s="51" t="n"/>
      <c r="E118" s="52" t="n"/>
      <c r="F118" s="51" t="n"/>
      <c r="G118" s="53" t="n"/>
      <c r="H118" s="54" t="n"/>
      <c r="I118" s="104" t="n"/>
      <c r="J118" s="105" t="n"/>
      <c r="K118" s="100" t="n"/>
      <c r="L118" s="101" t="n"/>
      <c r="M118" s="102" t="n"/>
      <c r="N118" s="103" t="n"/>
    </row>
    <row r="119" ht="15.75" customHeight="1">
      <c r="A119" s="35" t="n">
        <v>264</v>
      </c>
      <c r="B119" s="49">
        <f>IF(OR(ISNUMBER(SEARCH("Tequila", C119)), ISNUMBER(SEARCH("Tequila", D119))), "Tequila",
IF(OR(ISNUMBER(SEARCH("Rum", C119)), ISNUMBER(SEARCH("Rum", D119))), "Rum",
IF(OR(ISNUMBER(SEARCH("Whiskey", C119)), ISNUMBER(SEARCH("Whiskey", D119))), "Whiskey",
IF(OR(ISNUMBER(SEARCH("Gin", C119)), ISNUMBER(SEARCH("Gin", D119))), "Gin",
IF(OR(ISNUMBER(SEARCH("Liqueur", C119)), ISNUMBER(SEARCH("Liqueur", D119))), "Liqueur", "")))))</f>
        <v/>
      </c>
      <c r="C119" s="52" t="n"/>
      <c r="D119" s="51" t="n"/>
      <c r="E119" s="52" t="n"/>
      <c r="F119" s="51" t="n"/>
      <c r="G119" s="53" t="n"/>
      <c r="H119" s="54" t="n"/>
      <c r="I119" s="104" t="n"/>
      <c r="J119" s="105" t="n"/>
      <c r="K119" s="100" t="n"/>
      <c r="L119" s="101" t="n"/>
      <c r="M119" s="102" t="n"/>
      <c r="N119" s="103" t="n"/>
    </row>
    <row r="120" ht="15.75" customHeight="1">
      <c r="A120" s="35" t="n">
        <v>113</v>
      </c>
      <c r="B120" s="49">
        <f>IF(OR(ISNUMBER(SEARCH("Tequila", C120)), ISNUMBER(SEARCH("Tequila", D120))), "Tequila",
IF(OR(ISNUMBER(SEARCH("Rum", C120)), ISNUMBER(SEARCH("Rum", D120))), "Rum",
IF(OR(ISNUMBER(SEARCH("Whiskey", C120)), ISNUMBER(SEARCH("Whiskey", D120))), "Whiskey",
IF(OR(ISNUMBER(SEARCH("Gin", C120)), ISNUMBER(SEARCH("Gin", D120))), "Gin",
IF(OR(ISNUMBER(SEARCH("Liqueur", C120)), ISNUMBER(SEARCH("Liqueur", D120))), "Liqueur", "")))))</f>
        <v/>
      </c>
      <c r="C120" s="52" t="n"/>
      <c r="D120" s="51" t="inlineStr">
        <is>
          <t>Don Julio 1942 Tequila (750mL/item) - $143.00 1</t>
        </is>
      </c>
      <c r="E120" s="52" t="n">
        <v>750</v>
      </c>
      <c r="F120" s="51">
        <f>TRIM(MID(D120, FIND("$", D120), FIND(" ", D120, FIND("$", D120)) - FIND("$", D120))
)</f>
        <v/>
      </c>
      <c r="G120" s="53" t="n">
        <v>29.57</v>
      </c>
      <c r="H120" s="54">
        <f>SUM(E120/G120)</f>
        <v/>
      </c>
      <c r="I120" s="104">
        <f>SUM(F120/H120)</f>
        <v/>
      </c>
      <c r="J120" s="105">
        <f>SUM(4*I120)</f>
        <v/>
      </c>
      <c r="K120" s="100">
        <f>SUM(I120*1.5)</f>
        <v/>
      </c>
      <c r="L120" s="101">
        <f>SUM(K120*4)</f>
        <v/>
      </c>
      <c r="M120" s="102">
        <f>SUM(I120*2)</f>
        <v/>
      </c>
      <c r="N120" s="103">
        <f>SUM(M120*4)</f>
        <v/>
      </c>
    </row>
    <row r="121" ht="15.75" customHeight="1">
      <c r="A121" s="35" t="n">
        <v>308</v>
      </c>
      <c r="B121" s="49">
        <f>IF(OR(ISNUMBER(SEARCH("Tequila", C121)), ISNUMBER(SEARCH("Tequila", D121))), "Tequila",
IF(OR(ISNUMBER(SEARCH("Rum", C121)), ISNUMBER(SEARCH("Rum", D121))), "Rum",
IF(OR(ISNUMBER(SEARCH("Whiskey", C121)), ISNUMBER(SEARCH("Whiskey", D121))), "Whiskey",
IF(OR(ISNUMBER(SEARCH("Gin", C121)), ISNUMBER(SEARCH("Gin", D121))), "Gin",
IF(OR(ISNUMBER(SEARCH("Liqueur", C121)), ISNUMBER(SEARCH("Liqueur", D121))), "Liqueur", "")))))</f>
        <v/>
      </c>
      <c r="C121" s="52" t="n"/>
      <c r="D121" s="51" t="inlineStr">
        <is>
          <t>Don Julio 70th Anniversary Tequila (750mL/item) - $55.01 12</t>
        </is>
      </c>
      <c r="E121" s="52" t="n">
        <v>750</v>
      </c>
      <c r="F121" s="51">
        <f>TRIM(MID(D121, FIND("$", D121), FIND(" ", D121, FIND("$", D121)) - FIND("$", D121))
)</f>
        <v/>
      </c>
      <c r="G121" s="53" t="n">
        <v>29.57</v>
      </c>
      <c r="H121" s="54">
        <f>SUM(E121/G121)</f>
        <v/>
      </c>
      <c r="I121" s="104">
        <f>SUM(F121/H121)</f>
        <v/>
      </c>
      <c r="J121" s="105">
        <f>SUM(4*I121)</f>
        <v/>
      </c>
      <c r="K121" s="100">
        <f>SUM(I121*1.5)</f>
        <v/>
      </c>
      <c r="L121" s="101">
        <f>SUM(K121*4)</f>
        <v/>
      </c>
      <c r="M121" s="102">
        <f>SUM(I121*2)</f>
        <v/>
      </c>
      <c r="N121" s="103">
        <f>SUM(M121*4)</f>
        <v/>
      </c>
    </row>
    <row r="122" ht="15.75" customHeight="1">
      <c r="A122" s="35" t="n">
        <v>114</v>
      </c>
      <c r="B122" s="49">
        <f>IF(OR(ISNUMBER(SEARCH("Tequila", C122)), ISNUMBER(SEARCH("Tequila", D122))), "Tequila",
IF(OR(ISNUMBER(SEARCH("Rum", C122)), ISNUMBER(SEARCH("Rum", D122))), "Rum",
IF(OR(ISNUMBER(SEARCH("Whiskey", C122)), ISNUMBER(SEARCH("Whiskey", D122))), "Whiskey",
IF(OR(ISNUMBER(SEARCH("Gin", C122)), ISNUMBER(SEARCH("Gin", D122))), "Gin",
IF(OR(ISNUMBER(SEARCH("Liqueur", C122)), ISNUMBER(SEARCH("Liqueur", D122))), "Liqueur", "")))))</f>
        <v/>
      </c>
      <c r="C122" s="52" t="n"/>
      <c r="D122" s="51" t="inlineStr">
        <is>
          <t>Don Julio Anejo Tequila (750mL/item) - $49.04 3</t>
        </is>
      </c>
      <c r="E122" s="52" t="n">
        <v>750</v>
      </c>
      <c r="F122" s="51">
        <f>TRIM(MID(D122, FIND("$", D122), FIND(" ", D122, FIND("$", D122)) - FIND("$", D122))
)</f>
        <v/>
      </c>
      <c r="G122" s="53" t="n">
        <v>29.57</v>
      </c>
      <c r="H122" s="54">
        <f>SUM(E122/G122)</f>
        <v/>
      </c>
      <c r="I122" s="104">
        <f>SUM(F122/H122)</f>
        <v/>
      </c>
      <c r="J122" s="105">
        <f>SUM(4*I122)</f>
        <v/>
      </c>
      <c r="K122" s="100">
        <f>SUM(I122*1.5)</f>
        <v/>
      </c>
      <c r="L122" s="101">
        <f>SUM(K122*4)</f>
        <v/>
      </c>
      <c r="M122" s="102">
        <f>SUM(I122*2)</f>
        <v/>
      </c>
      <c r="N122" s="103">
        <f>SUM(M122*4)</f>
        <v/>
      </c>
    </row>
    <row r="123" ht="15.75" customHeight="1">
      <c r="A123" s="35" t="n">
        <v>115</v>
      </c>
      <c r="B123" s="49">
        <f>IF(OR(ISNUMBER(SEARCH("Tequila", C123)), ISNUMBER(SEARCH("Tequila", D123))), "Tequila",
IF(OR(ISNUMBER(SEARCH("Rum", C123)), ISNUMBER(SEARCH("Rum", D123))), "Rum",
IF(OR(ISNUMBER(SEARCH("Whiskey", C123)), ISNUMBER(SEARCH("Whiskey", D123))), "Whiskey",
IF(OR(ISNUMBER(SEARCH("Gin", C123)), ISNUMBER(SEARCH("Gin", D123))), "Gin",
IF(OR(ISNUMBER(SEARCH("Liqueur", C123)), ISNUMBER(SEARCH("Liqueur", D123))), "Liqueur", "")))))</f>
        <v/>
      </c>
      <c r="C123" s="58" t="n"/>
      <c r="D123" s="51" t="inlineStr">
        <is>
          <t>Don Julio Blanco Teguila (750mL/item) - $40.86 6</t>
        </is>
      </c>
      <c r="E123" s="52" t="n">
        <v>750</v>
      </c>
      <c r="F123" s="51">
        <f>TRIM(MID(D123, FIND("$", D123), FIND(" ", D123, FIND("$", D123)) - FIND("$", D123))
)</f>
        <v/>
      </c>
      <c r="G123" s="53" t="n">
        <v>29.57</v>
      </c>
      <c r="H123" s="54">
        <f>SUM(E123/G123)</f>
        <v/>
      </c>
      <c r="I123" s="104">
        <f>SUM(F123/H123)</f>
        <v/>
      </c>
      <c r="J123" s="105">
        <f>SUM(4*I123)</f>
        <v/>
      </c>
      <c r="K123" s="100">
        <f>SUM(I123*1.5)</f>
        <v/>
      </c>
      <c r="L123" s="101">
        <f>SUM(K123*4)</f>
        <v/>
      </c>
      <c r="M123" s="102">
        <f>SUM(I123*2)</f>
        <v/>
      </c>
      <c r="N123" s="103">
        <f>SUM(M123*4)</f>
        <v/>
      </c>
    </row>
    <row r="124" ht="15.75" customHeight="1">
      <c r="A124" s="35" t="n">
        <v>116</v>
      </c>
      <c r="B124" s="49">
        <f>IF(OR(ISNUMBER(SEARCH("Tequila", C124)), ISNUMBER(SEARCH("Tequila", D124))), "Tequila",
IF(OR(ISNUMBER(SEARCH("Rum", C124)), ISNUMBER(SEARCH("Rum", D124))), "Rum",
IF(OR(ISNUMBER(SEARCH("Whiskey", C124)), ISNUMBER(SEARCH("Whiskey", D124))), "Whiskey",
IF(OR(ISNUMBER(SEARCH("Gin", C124)), ISNUMBER(SEARCH("Gin", D124))), "Gin",
IF(OR(ISNUMBER(SEARCH("Liqueur", C124)), ISNUMBER(SEARCH("Liqueur", D124))), "Liqueur", "")))))</f>
        <v/>
      </c>
      <c r="C124" s="52" t="n"/>
      <c r="D124" s="51" t="inlineStr">
        <is>
          <t>Don Julio Primavera Tequila (750mL/item) - $67.99 1</t>
        </is>
      </c>
      <c r="E124" s="52" t="n">
        <v>750</v>
      </c>
      <c r="F124" s="51">
        <f>TRIM(MID(D124, FIND("$", D124), FIND(" ", D124, FIND("$", D124)) - FIND("$", D124))
)</f>
        <v/>
      </c>
      <c r="G124" s="53" t="n">
        <v>29.57</v>
      </c>
      <c r="H124" s="54">
        <f>SUM(E124/G124)</f>
        <v/>
      </c>
      <c r="I124" s="104">
        <f>SUM(F124/H124)</f>
        <v/>
      </c>
      <c r="J124" s="105">
        <f>SUM(4*I124)</f>
        <v/>
      </c>
      <c r="K124" s="100">
        <f>SUM(I124*1.5)</f>
        <v/>
      </c>
      <c r="L124" s="101">
        <f>SUM(K124*4)</f>
        <v/>
      </c>
      <c r="M124" s="102">
        <f>SUM(I124*2)</f>
        <v/>
      </c>
      <c r="N124" s="103">
        <f>SUM(M124*4)</f>
        <v/>
      </c>
    </row>
    <row r="125" ht="15.75" customHeight="1">
      <c r="A125" s="35" t="n">
        <v>309</v>
      </c>
      <c r="B125" s="49">
        <f>IF(OR(ISNUMBER(SEARCH("Tequila", C125)), ISNUMBER(SEARCH("Tequila", D125))), "Tequila",
IF(OR(ISNUMBER(SEARCH("Rum", C125)), ISNUMBER(SEARCH("Rum", D125))), "Rum",
IF(OR(ISNUMBER(SEARCH("Whiskey", C125)), ISNUMBER(SEARCH("Whiskey", D125))), "Whiskey",
IF(OR(ISNUMBER(SEARCH("Gin", C125)), ISNUMBER(SEARCH("Gin", D125))), "Gin",
IF(OR(ISNUMBER(SEARCH("Liqueur", C125)), ISNUMBER(SEARCH("Liqueur", D125))), "Liqueur", "")))))</f>
        <v/>
      </c>
      <c r="C125" s="52" t="n"/>
      <c r="D125" s="51" t="inlineStr">
        <is>
          <t>Don Julio Private Cask Reposado Tequila (750mL/item) - $55.01 6</t>
        </is>
      </c>
      <c r="E125" s="52" t="n">
        <v>750</v>
      </c>
      <c r="F125" s="51">
        <f>TRIM(MID(D125, FIND("$", D125), FIND(" ", D125, FIND("$", D125)) - FIND("$", D125))
)</f>
        <v/>
      </c>
      <c r="G125" s="53" t="n">
        <v>29.57</v>
      </c>
      <c r="H125" s="54">
        <f>SUM(E125/G125)</f>
        <v/>
      </c>
      <c r="I125" s="104">
        <f>SUM(F125/H125)</f>
        <v/>
      </c>
      <c r="J125" s="105">
        <f>SUM(4*I125)</f>
        <v/>
      </c>
      <c r="K125" s="100">
        <f>SUM(I125*1.5)</f>
        <v/>
      </c>
      <c r="L125" s="101">
        <f>SUM(K125*4)</f>
        <v/>
      </c>
      <c r="M125" s="102">
        <f>SUM(I125*2)</f>
        <v/>
      </c>
      <c r="N125" s="103">
        <f>SUM(M125*4)</f>
        <v/>
      </c>
    </row>
    <row r="126" ht="15.75" customHeight="1">
      <c r="A126" s="35" t="n">
        <v>117</v>
      </c>
      <c r="B126" s="49">
        <f>IF(OR(ISNUMBER(SEARCH("Tequila", C126)), ISNUMBER(SEARCH("Tequila", D126))), "Tequila",
IF(OR(ISNUMBER(SEARCH("Rum", C126)), ISNUMBER(SEARCH("Rum", D126))), "Rum",
IF(OR(ISNUMBER(SEARCH("Whiskey", C126)), ISNUMBER(SEARCH("Whiskey", D126))), "Whiskey",
IF(OR(ISNUMBER(SEARCH("Gin", C126)), ISNUMBER(SEARCH("Gin", D126))), "Gin",
IF(OR(ISNUMBER(SEARCH("Liqueur", C126)), ISNUMBER(SEARCH("Liqueur", D126))), "Liqueur", "")))))</f>
        <v/>
      </c>
      <c r="C126" s="57" t="n"/>
      <c r="D126" s="51" t="inlineStr">
        <is>
          <t>Don Julio Reposado Tequila (750mL/item) - $44.94 3</t>
        </is>
      </c>
      <c r="E126" s="52" t="n">
        <v>750</v>
      </c>
      <c r="F126" s="51">
        <f>TRIM(MID(D126, FIND("$", D126), FIND(" ", D126, FIND("$", D126)) - FIND("$", D126))
)</f>
        <v/>
      </c>
      <c r="G126" s="53" t="n">
        <v>29.57</v>
      </c>
      <c r="H126" s="54">
        <f>SUM(E126/G126)</f>
        <v/>
      </c>
      <c r="I126" s="104">
        <f>SUM(F126/H126)</f>
        <v/>
      </c>
      <c r="J126" s="105">
        <f>SUM(4*I126)</f>
        <v/>
      </c>
      <c r="K126" s="100">
        <f>SUM(I126*1.5)</f>
        <v/>
      </c>
      <c r="L126" s="101">
        <f>SUM(K126*4)</f>
        <v/>
      </c>
      <c r="M126" s="102">
        <f>SUM(I126*2)</f>
        <v/>
      </c>
      <c r="N126" s="103">
        <f>SUM(M126*4)</f>
        <v/>
      </c>
    </row>
    <row r="127" ht="15.75" customHeight="1">
      <c r="A127" s="35" t="n">
        <v>118</v>
      </c>
      <c r="B127" s="49">
        <f>IF(OR(ISNUMBER(SEARCH("Tequila", C127)), ISNUMBER(SEARCH("Tequila", D127))), "Tequila",
IF(OR(ISNUMBER(SEARCH("Rum", C127)), ISNUMBER(SEARCH("Rum", D127))), "Rum",
IF(OR(ISNUMBER(SEARCH("Whiskey", C127)), ISNUMBER(SEARCH("Whiskey", D127))), "Whiskey",
IF(OR(ISNUMBER(SEARCH("Gin", C127)), ISNUMBER(SEARCH("Gin", D127))), "Gin",
IF(OR(ISNUMBER(SEARCH("Liqueur", C127)), ISNUMBER(SEARCH("Liqueur", D127))), "Liqueur", "")))))</f>
        <v/>
      </c>
      <c r="C127" s="57" t="n"/>
      <c r="D127" s="51" t="inlineStr">
        <is>
          <t>Don Julio Rosado Reposado Tequila (750mL/item) - $102.14 1</t>
        </is>
      </c>
      <c r="E127" s="52" t="n">
        <v>750</v>
      </c>
      <c r="F127" s="51">
        <f>TRIM(MID(D127, FIND("$", D127), FIND(" ", D127, FIND("$", D127)) - FIND("$", D127))
)</f>
        <v/>
      </c>
      <c r="G127" s="53" t="n">
        <v>29.57</v>
      </c>
      <c r="H127" s="54">
        <f>SUM(E127/G127)</f>
        <v/>
      </c>
      <c r="I127" s="104">
        <f>SUM(F127/H127)</f>
        <v/>
      </c>
      <c r="J127" s="105">
        <f>SUM(4*I127)</f>
        <v/>
      </c>
      <c r="K127" s="100">
        <f>SUM(I127*1.5)</f>
        <v/>
      </c>
      <c r="L127" s="101">
        <f>SUM(K127*4)</f>
        <v/>
      </c>
      <c r="M127" s="102">
        <f>SUM(I127*2)</f>
        <v/>
      </c>
      <c r="N127" s="103">
        <f>SUM(M127*4)</f>
        <v/>
      </c>
    </row>
    <row r="128" ht="15.75" customHeight="1">
      <c r="A128" s="59" t="n"/>
      <c r="B128" s="49">
        <f>IF(OR(ISNUMBER(SEARCH("Tequila", C128)), ISNUMBER(SEARCH("Tequila", D128))), "Tequila",
IF(OR(ISNUMBER(SEARCH("Rum", C128)), ISNUMBER(SEARCH("Rum", D128))), "Rum",
IF(OR(ISNUMBER(SEARCH("Whiskey", C128)), ISNUMBER(SEARCH("Whiskey", D128))), "Whiskey",
IF(OR(ISNUMBER(SEARCH("Gin", C128)), ISNUMBER(SEARCH("Gin", D128))), "Gin",
IF(OR(ISNUMBER(SEARCH("Liqueur", C128)), ISNUMBER(SEARCH("Liqueur", D128))), "Liqueur", "")))))</f>
        <v/>
      </c>
      <c r="C128" s="52" t="n"/>
      <c r="D128" s="60" t="inlineStr">
        <is>
          <t>Don Mateo de la Sierra Cupreata Mezcal Tequila (750mL) $60.90 1</t>
        </is>
      </c>
      <c r="E128" s="52" t="n">
        <v>750</v>
      </c>
      <c r="F128" s="51">
        <f>TRIM(MID(D128, FIND("$", D128), FIND(" ", D128, FIND("$", D128)) - FIND("$", D128))
)</f>
        <v/>
      </c>
      <c r="G128" s="53" t="n">
        <v>29.57</v>
      </c>
      <c r="H128" s="54">
        <f>SUM(E128/G128)</f>
        <v/>
      </c>
      <c r="I128" s="104">
        <f>SUM(F128/H128)</f>
        <v/>
      </c>
      <c r="J128" s="105">
        <f>SUM(4*I128)</f>
        <v/>
      </c>
      <c r="K128" s="100">
        <f>SUM(I128*1.5)</f>
        <v/>
      </c>
      <c r="L128" s="101">
        <f>SUM(K128*4)</f>
        <v/>
      </c>
      <c r="M128" s="102">
        <f>SUM(I128*2)</f>
        <v/>
      </c>
      <c r="N128" s="103">
        <f>SUM(M128*4)</f>
        <v/>
      </c>
    </row>
    <row r="129" ht="15.75" customHeight="1">
      <c r="A129" s="35" t="n">
        <v>3</v>
      </c>
      <c r="B129" s="49" t="inlineStr">
        <is>
          <t>tequila</t>
        </is>
      </c>
      <c r="C129" s="52" t="n"/>
      <c r="D129" s="51" t="inlineStr">
        <is>
          <t>Don Ramon Swarovski Anejo Tequila (750mL) $369.80 4</t>
        </is>
      </c>
      <c r="E129" s="52" t="n">
        <v>750</v>
      </c>
      <c r="F129" s="51">
        <f>TRIM(MID(D129, FIND("$", D129), FIND(" ", D129, FIND("$", D129)) - FIND("$", D129))
)</f>
        <v/>
      </c>
      <c r="G129" s="53" t="n">
        <v>29.57</v>
      </c>
      <c r="H129" s="54">
        <f>SUM(E129/G129)</f>
        <v/>
      </c>
      <c r="I129" s="104">
        <f>SUM(F129/H129)</f>
        <v/>
      </c>
      <c r="J129" s="105">
        <f>SUM(4*I129)</f>
        <v/>
      </c>
      <c r="K129" s="100">
        <f>SUM(I129*1.5)</f>
        <v/>
      </c>
      <c r="L129" s="101">
        <f>SUM(K129*4)</f>
        <v/>
      </c>
      <c r="M129" s="102">
        <f>SUM(I129*2)</f>
        <v/>
      </c>
      <c r="N129" s="103">
        <f>SUM(M129*4)</f>
        <v/>
      </c>
    </row>
    <row r="130" ht="15.75" customHeight="1">
      <c r="A130" s="35" t="n">
        <v>4</v>
      </c>
      <c r="B130" s="49" t="inlineStr">
        <is>
          <t>tequila</t>
        </is>
      </c>
      <c r="C130" s="50" t="n"/>
      <c r="D130" s="51" t="inlineStr">
        <is>
          <t>Don Ramon Swarovski Extra Anejo (750mL / item) $422.91 4</t>
        </is>
      </c>
      <c r="E130" s="52" t="n">
        <v>750</v>
      </c>
      <c r="F130" s="51">
        <f>TRIM(MID(D130, FIND("$", D130), FIND(" ", D130, FIND("$", D130)) - FIND("$", D130))
)</f>
        <v/>
      </c>
      <c r="G130" s="53" t="n">
        <v>29.57</v>
      </c>
      <c r="H130" s="54">
        <f>SUM(E130/G130)</f>
        <v/>
      </c>
      <c r="I130" s="104">
        <f>SUM(F130/H130)</f>
        <v/>
      </c>
      <c r="J130" s="105">
        <f>SUM(4*I130)</f>
        <v/>
      </c>
      <c r="K130" s="100">
        <f>SUM(I130*1.5)</f>
        <v/>
      </c>
      <c r="L130" s="101">
        <f>SUM(K130*4)</f>
        <v/>
      </c>
      <c r="M130" s="102">
        <f>SUM(I130*2)</f>
        <v/>
      </c>
      <c r="N130" s="103">
        <f>SUM(M130*4)</f>
        <v/>
      </c>
    </row>
    <row r="131" ht="15.75" customHeight="1">
      <c r="A131" s="35" t="n">
        <v>5</v>
      </c>
      <c r="B131" s="49" t="inlineStr">
        <is>
          <t>tequila</t>
        </is>
      </c>
      <c r="C131" s="52" t="n"/>
      <c r="D131" s="51" t="inlineStr">
        <is>
          <t>Don Ramon Swarovski Plata Tequila (750mL / item) $275.01 4</t>
        </is>
      </c>
      <c r="E131" s="52" t="n">
        <v>750</v>
      </c>
      <c r="F131" s="51">
        <f>TRIM(MID(D131, FIND("$", D131), FIND(" ", D131, FIND("$", D131)) - FIND("$", D131))
)</f>
        <v/>
      </c>
      <c r="G131" s="53" t="n">
        <v>29.57</v>
      </c>
      <c r="H131" s="54">
        <f>SUM(E131/G131)</f>
        <v/>
      </c>
      <c r="I131" s="104">
        <f>SUM(F131/H131)</f>
        <v/>
      </c>
      <c r="J131" s="105">
        <f>SUM(4*I131)</f>
        <v/>
      </c>
      <c r="K131" s="100">
        <f>SUM(I131*1.5)</f>
        <v/>
      </c>
      <c r="L131" s="101">
        <f>SUM(K131*4)</f>
        <v/>
      </c>
      <c r="M131" s="102">
        <f>SUM(I131*2)</f>
        <v/>
      </c>
      <c r="N131" s="103">
        <f>SUM(M131*4)</f>
        <v/>
      </c>
    </row>
    <row r="132" ht="15.75" customHeight="1">
      <c r="A132" s="35" t="n">
        <v>18</v>
      </c>
      <c r="B132" s="49">
        <f>IF(OR(ISNUMBER(SEARCH("Tequila", C132)), ISNUMBER(SEARCH("Tequila", D132))), "Tequila",
 IF(OR(ISNUMBER(SEARCH("Rum", C132)), ISNUMBER(SEARCH("Rum", D132))), "Rum",
 IF(OR(ISNUMBER(SEARCH("Whiskey", C132)), ISNUMBER(SEARCH("Whiskey", D132))), "Whiskey",
 IF(OR(ISNUMBER(SEARCH("Gin", C132)), ISNUMBER(SEARCH("Gin", D132))), "Gin",
 IF(OR(ISNUMBER(SEARCH("Liqueur", C132)), ISNUMBER(SEARCH("Liqueur", D132))), "Liqueur", "")))))</f>
        <v/>
      </c>
      <c r="C132" s="52" t="n"/>
      <c r="D132" s="51" t="inlineStr">
        <is>
          <t>Dos Maderas 5 + 3 Dark Rum (750mL / item) $27.12 2</t>
        </is>
      </c>
      <c r="E132" s="52" t="n">
        <v>750</v>
      </c>
      <c r="F132" s="51">
        <f>TRIM(MID(D132, FIND("$", D132), FIND(" ", D132, FIND("$", D132)) - FIND("$", D132))
)</f>
        <v/>
      </c>
      <c r="G132" s="53" t="n">
        <v>29.57</v>
      </c>
      <c r="H132" s="54">
        <f>SUM(E132/G132)</f>
        <v/>
      </c>
      <c r="I132" s="104">
        <f>SUM(F132/H132)</f>
        <v/>
      </c>
      <c r="J132" s="105">
        <f>SUM(4*I132)</f>
        <v/>
      </c>
      <c r="K132" s="100">
        <f>SUM(I132*1.5)</f>
        <v/>
      </c>
      <c r="L132" s="101">
        <f>SUM(K132*4)</f>
        <v/>
      </c>
      <c r="M132" s="102">
        <f>SUM(I132*2)</f>
        <v/>
      </c>
      <c r="N132" s="103">
        <f>SUM(M132*4)</f>
        <v/>
      </c>
    </row>
    <row r="133" ht="15.75" customHeight="1">
      <c r="A133" s="35" t="n">
        <v>246</v>
      </c>
      <c r="B133" s="49">
        <f>IF(OR(ISNUMBER(SEARCH("Tequila", C133)), ISNUMBER(SEARCH("Tequila", D133))), "Tequila",
IF(OR(ISNUMBER(SEARCH("Rum", C133)), ISNUMBER(SEARCH("Rum", D133))), "Rum",
IF(OR(ISNUMBER(SEARCH("Whiskey", C133)), ISNUMBER(SEARCH("Whiskey", D133))), "Whiskey",
IF(OR(ISNUMBER(SEARCH("Gin", C133)), ISNUMBER(SEARCH("Gin", D133))), "Gin",
IF(OR(ISNUMBER(SEARCH("Liqueur", C133)), ISNUMBER(SEARCH("Liqueur", D133))), "Liqueur", "")))))</f>
        <v/>
      </c>
      <c r="C133" s="52" t="n"/>
      <c r="D133" s="51" t="n"/>
      <c r="E133" s="52" t="n"/>
      <c r="F133" s="51" t="n"/>
      <c r="G133" s="53" t="n"/>
      <c r="H133" s="54" t="n"/>
      <c r="I133" s="104" t="n"/>
      <c r="J133" s="105" t="n"/>
      <c r="K133" s="100" t="n"/>
      <c r="L133" s="101" t="n"/>
      <c r="M133" s="102" t="n"/>
      <c r="N133" s="103" t="n"/>
    </row>
    <row r="134" ht="15.75" customHeight="1">
      <c r="A134" s="35" t="n">
        <v>265</v>
      </c>
      <c r="B134" s="49">
        <f>IF(OR(ISNUMBER(SEARCH("Tequila", C134)), ISNUMBER(SEARCH("Tequila", D134))), "Tequila",
IF(OR(ISNUMBER(SEARCH("Rum", C134)), ISNUMBER(SEARCH("Rum", D134))), "Rum",
IF(OR(ISNUMBER(SEARCH("Whiskey", C134)), ISNUMBER(SEARCH("Whiskey", D134))), "Whiskey",
IF(OR(ISNUMBER(SEARCH("Gin", C134)), ISNUMBER(SEARCH("Gin", D134))), "Gin",
IF(OR(ISNUMBER(SEARCH("Liqueur", C134)), ISNUMBER(SEARCH("Liqueur", D134))), "Liqueur", "")))))</f>
        <v/>
      </c>
      <c r="C134" s="52" t="n"/>
      <c r="D134" s="51" t="n"/>
      <c r="E134" s="52" t="n"/>
      <c r="F134" s="51" t="n"/>
      <c r="G134" s="53" t="n"/>
      <c r="H134" s="54" t="n"/>
      <c r="I134" s="104" t="n"/>
      <c r="J134" s="105" t="n"/>
      <c r="K134" s="100" t="n"/>
      <c r="L134" s="101" t="n"/>
      <c r="M134" s="102" t="n"/>
      <c r="N134" s="103" t="n"/>
    </row>
    <row r="135" ht="15.75" customHeight="1">
      <c r="A135" s="35" t="n">
        <v>69</v>
      </c>
      <c r="B135" s="49">
        <f>IF(OR(ISNUMBER(SEARCH("Tequila", C135)), ISNUMBER(SEARCH("Tequila", D135))), "Tequila",
IF(OR(ISNUMBER(SEARCH("Rum", C135)), ISNUMBER(SEARCH("Rum", D135))), "Rum",
IF(OR(ISNUMBER(SEARCH("Whiskey", C135)), ISNUMBER(SEARCH("Whiskey", D135))), "Whiskey",
IF(OR(ISNUMBER(SEARCH("Gin", C135)), ISNUMBER(SEARCH("Gin", D135))), "Gin",
IF(OR(ISNUMBER(SEARCH("Liqueur", C135)), ISNUMBER(SEARCH("Liqueur", D135))), "Liqueur", "")))))</f>
        <v/>
      </c>
      <c r="C135" s="52" t="n"/>
      <c r="D135" s="51" t="inlineStr">
        <is>
          <t>El Jolgorio Espadin Mezcal Tequila (750mL/item) - $79.80 1</t>
        </is>
      </c>
      <c r="E135" s="52" t="n">
        <v>750</v>
      </c>
      <c r="F135" s="51">
        <f>TRIM(MID(D135, FIND("$", D135), FIND(" ", D135, FIND("$", D135)) - FIND("$", D135))
)</f>
        <v/>
      </c>
      <c r="G135" s="53" t="n">
        <v>29.57</v>
      </c>
      <c r="H135" s="54">
        <f>SUM(E135/G135)</f>
        <v/>
      </c>
      <c r="I135" s="104">
        <f>SUM(F135/H135)</f>
        <v/>
      </c>
      <c r="J135" s="105">
        <f>SUM(4*I135)</f>
        <v/>
      </c>
      <c r="K135" s="100">
        <f>SUM(I135*1.5)</f>
        <v/>
      </c>
      <c r="L135" s="101">
        <f>SUM(K135*4)</f>
        <v/>
      </c>
      <c r="M135" s="102">
        <f>SUM(I135*2)</f>
        <v/>
      </c>
      <c r="N135" s="103">
        <f>SUM(M135*4)</f>
        <v/>
      </c>
    </row>
    <row r="136" ht="15.75" customHeight="1">
      <c r="A136" s="35" t="n">
        <v>68</v>
      </c>
      <c r="B136" s="49">
        <f>IF(OR(ISNUMBER(SEARCH("Tequila", C136)), ISNUMBER(SEARCH("Tequila", D136))), "Tequila",
IF(OR(ISNUMBER(SEARCH("Rum", C136)), ISNUMBER(SEARCH("Rum", D136))), "Rum",
IF(OR(ISNUMBER(SEARCH("Whiskey", C136)), ISNUMBER(SEARCH("Whiskey", D136))), "Whiskey",
IF(OR(ISNUMBER(SEARCH("Gin", C136)), ISNUMBER(SEARCH("Gin", D136))), "Gin",
IF(OR(ISNUMBER(SEARCH("Liqueur", C136)), ISNUMBER(SEARCH("Liqueur", D136))), "Liqueur", "")))))</f>
        <v/>
      </c>
      <c r="C136" s="52" t="n"/>
      <c r="D136" s="51" t="inlineStr">
        <is>
          <t>El Jolgorio Tepeztate Mezcal Tequila (750mL/item) - $107.10 1</t>
        </is>
      </c>
      <c r="E136" s="52" t="n">
        <v>750</v>
      </c>
      <c r="F136" s="51">
        <f>TRIM(MID(D136, FIND("$", D136), FIND(" ", D136, FIND("$", D136)) - FIND("$", D136))
)</f>
        <v/>
      </c>
      <c r="G136" s="53" t="n">
        <v>29.57</v>
      </c>
      <c r="H136" s="54">
        <f>SUM(E136/G136)</f>
        <v/>
      </c>
      <c r="I136" s="104">
        <f>SUM(F136/H136)</f>
        <v/>
      </c>
      <c r="J136" s="105">
        <f>SUM(4*I136)</f>
        <v/>
      </c>
      <c r="K136" s="100">
        <f>SUM(I136*1.5)</f>
        <v/>
      </c>
      <c r="L136" s="101">
        <f>SUM(K136*4)</f>
        <v/>
      </c>
      <c r="M136" s="102">
        <f>SUM(I136*2)</f>
        <v/>
      </c>
      <c r="N136" s="103">
        <f>SUM(M136*4)</f>
        <v/>
      </c>
    </row>
    <row r="137" ht="15.75" customHeight="1">
      <c r="A137" s="59" t="n"/>
      <c r="B137" s="49">
        <f>IF(OR(ISNUMBER(SEARCH("Tequila", C137)), ISNUMBER(SEARCH("Tequila", D137))), "Tequila",
IF(OR(ISNUMBER(SEARCH("Rum", C137)), ISNUMBER(SEARCH("Rum", D137))), "Rum",
IF(OR(ISNUMBER(SEARCH("Whiskey", C137)), ISNUMBER(SEARCH("Whiskey", D137))), "Whiskey",
IF(OR(ISNUMBER(SEARCH("Gin", C137)), ISNUMBER(SEARCH("Gin", D137))), "Gin",
IF(OR(ISNUMBER(SEARCH("Liqueur", C137)), ISNUMBER(SEARCH("Liqueur", D137))), "Liqueur", "")))))</f>
        <v/>
      </c>
      <c r="C137" s="52" t="n"/>
      <c r="D137" s="60" t="inlineStr">
        <is>
          <t>El Lobo de la Sierra Raicilla Tequila (750mL) $61.95 1</t>
        </is>
      </c>
      <c r="E137" s="52" t="n">
        <v>750</v>
      </c>
      <c r="F137" s="51">
        <f>TRIM(MID(D137, FIND("$", D137), FIND(" ", D137, FIND("$", D137)) - FIND("$", D137))
)</f>
        <v/>
      </c>
      <c r="G137" s="53" t="n">
        <v>29.57</v>
      </c>
      <c r="H137" s="54">
        <f>SUM(E137/G137)</f>
        <v/>
      </c>
      <c r="I137" s="104">
        <f>SUM(F137/H137)</f>
        <v/>
      </c>
      <c r="J137" s="105">
        <f>SUM(4*I137)</f>
        <v/>
      </c>
      <c r="K137" s="100">
        <f>SUM(I137*1.5)</f>
        <v/>
      </c>
      <c r="L137" s="101">
        <f>SUM(K137*4)</f>
        <v/>
      </c>
      <c r="M137" s="102">
        <f>SUM(I137*2)</f>
        <v/>
      </c>
      <c r="N137" s="103">
        <f>SUM(M137*4)</f>
        <v/>
      </c>
    </row>
    <row r="138" ht="15.75" customHeight="1">
      <c r="A138" s="59" t="n"/>
      <c r="B138" s="49">
        <f>IF(OR(ISNUMBER(SEARCH("Tequila", C138)), ISNUMBER(SEARCH("Tequila", D138))), "Tequila",
IF(OR(ISNUMBER(SEARCH("Rum", C138)), ISNUMBER(SEARCH("Rum", D138))), "Rum",
IF(OR(ISNUMBER(SEARCH("Whiskey", C138)), ISNUMBER(SEARCH("Whiskey", D138))), "Whiskey",
IF(OR(ISNUMBER(SEARCH("Gin", C138)), ISNUMBER(SEARCH("Gin", D138))), "Gin",
IF(OR(ISNUMBER(SEARCH("Liqueur", C138)), ISNUMBER(SEARCH("Liqueur", D138))), "Liqueur", "")))))</f>
        <v/>
      </c>
      <c r="C138" s="52" t="n"/>
      <c r="D138" s="60" t="inlineStr">
        <is>
          <t>El Mayor Anejo Cristalino Tequila (750mL) $36.12 1</t>
        </is>
      </c>
      <c r="E138" s="52" t="n">
        <v>750</v>
      </c>
      <c r="F138" s="51">
        <f>TRIM(MID(D138, FIND("$", D138), FIND(" ", D138, FIND("$", D138)) - FIND("$", D138))
)</f>
        <v/>
      </c>
      <c r="G138" s="53" t="n">
        <v>29.57</v>
      </c>
      <c r="H138" s="54">
        <f>SUM(E138/G138)</f>
        <v/>
      </c>
      <c r="I138" s="104">
        <f>SUM(F138/H138)</f>
        <v/>
      </c>
      <c r="J138" s="105">
        <f>SUM(4*I138)</f>
        <v/>
      </c>
      <c r="K138" s="100">
        <f>SUM(I138*1.5)</f>
        <v/>
      </c>
      <c r="L138" s="101">
        <f>SUM(K138*4)</f>
        <v/>
      </c>
      <c r="M138" s="102">
        <f>SUM(I138*2)</f>
        <v/>
      </c>
      <c r="N138" s="103">
        <f>SUM(M138*4)</f>
        <v/>
      </c>
    </row>
    <row r="139" ht="15.75" customHeight="1">
      <c r="A139" s="59" t="n"/>
      <c r="B139" s="49">
        <f>IF(OR(ISNUMBER(SEARCH("Tequila", C139)), ISNUMBER(SEARCH("Tequila", D139))), "Tequila",
IF(OR(ISNUMBER(SEARCH("Rum", C139)), ISNUMBER(SEARCH("Rum", D139))), "Rum",
IF(OR(ISNUMBER(SEARCH("Whiskey", C139)), ISNUMBER(SEARCH("Whiskey", D139))), "Whiskey",
IF(OR(ISNUMBER(SEARCH("Gin", C139)), ISNUMBER(SEARCH("Gin", D139))), "Gin",
IF(OR(ISNUMBER(SEARCH("Liqueur", C139)), ISNUMBER(SEARCH("Liqueur", D139))), "Liqueur", "")))))</f>
        <v/>
      </c>
      <c r="C139" s="52" t="n"/>
      <c r="D139" s="60" t="inlineStr">
        <is>
          <t>El Mayor Anejo Tequila (750ML) $29.58 2</t>
        </is>
      </c>
      <c r="E139" s="52" t="n">
        <v>750</v>
      </c>
      <c r="F139" s="51">
        <f>TRIM(MID(D139, FIND("$", D139), FIND(" ", D139, FIND("$", D139)) - FIND("$", D139))
)</f>
        <v/>
      </c>
      <c r="G139" s="53" t="n">
        <v>29.57</v>
      </c>
      <c r="H139" s="54">
        <f>SUM(E139/G139)</f>
        <v/>
      </c>
      <c r="I139" s="104">
        <f>SUM(F139/H139)</f>
        <v/>
      </c>
      <c r="J139" s="105">
        <f>SUM(4*I139)</f>
        <v/>
      </c>
      <c r="K139" s="100">
        <f>SUM(I139*1.5)</f>
        <v/>
      </c>
      <c r="L139" s="101">
        <f>SUM(K139*4)</f>
        <v/>
      </c>
      <c r="M139" s="102">
        <f>SUM(I139*2)</f>
        <v/>
      </c>
      <c r="N139" s="103">
        <f>SUM(M139*4)</f>
        <v/>
      </c>
    </row>
    <row r="140" ht="15.75" customHeight="1">
      <c r="A140" s="59" t="n"/>
      <c r="B140" s="49">
        <f>IF(OR(ISNUMBER(SEARCH("Tequila", C140)), ISNUMBER(SEARCH("Tequila", D140))), "Tequila",
IF(OR(ISNUMBER(SEARCH("Rum", C140)), ISNUMBER(SEARCH("Rum", D140))), "Rum",
IF(OR(ISNUMBER(SEARCH("Whiskey", C140)), ISNUMBER(SEARCH("Whiskey", D140))), "Whiskey",
IF(OR(ISNUMBER(SEARCH("Gin", C140)), ISNUMBER(SEARCH("Gin", D140))), "Gin",
IF(OR(ISNUMBER(SEARCH("Liqueur", C140)), ISNUMBER(SEARCH("Liqueur", D140))), "Liqueur", "")))))</f>
        <v/>
      </c>
      <c r="C140" s="50" t="n"/>
      <c r="D140" s="60" t="inlineStr">
        <is>
          <t>El Mayor Bourbon Barrel Aged Extra Anejo Tequila (750mL) $133.35 3</t>
        </is>
      </c>
      <c r="E140" s="52" t="n">
        <v>750</v>
      </c>
      <c r="F140" s="51">
        <f>TRIM(MID(D140, FIND("$", D140), FIND(" ", D140, FIND("$", D140)) - FIND("$", D140))
)</f>
        <v/>
      </c>
      <c r="G140" s="53" t="n">
        <v>29.57</v>
      </c>
      <c r="H140" s="54">
        <f>SUM(E140/G140)</f>
        <v/>
      </c>
      <c r="I140" s="104">
        <f>SUM(F140/H140)</f>
        <v/>
      </c>
      <c r="J140" s="105">
        <f>SUM(4*I140)</f>
        <v/>
      </c>
      <c r="K140" s="100">
        <f>SUM(I140*1.5)</f>
        <v/>
      </c>
      <c r="L140" s="101">
        <f>SUM(K140*4)</f>
        <v/>
      </c>
      <c r="M140" s="102">
        <f>SUM(I140*2)</f>
        <v/>
      </c>
      <c r="N140" s="103">
        <f>SUM(M140*4)</f>
        <v/>
      </c>
    </row>
    <row r="141" ht="15.75" customHeight="1">
      <c r="A141" s="59" t="n"/>
      <c r="B141" s="49">
        <f>IF(OR(ISNUMBER(SEARCH("Tequila", C141)), ISNUMBER(SEARCH("Tequila", D141))), "Tequila",
IF(OR(ISNUMBER(SEARCH("Rum", C141)), ISNUMBER(SEARCH("Rum", D141))), "Rum",
IF(OR(ISNUMBER(SEARCH("Whiskey", C141)), ISNUMBER(SEARCH("Whiskey", D141))), "Whiskey",
IF(OR(ISNUMBER(SEARCH("Gin", C141)), ISNUMBER(SEARCH("Gin", D141))), "Gin",
IF(OR(ISNUMBER(SEARCH("Liqueur", C141)), ISNUMBER(SEARCH("Liqueur", D141))), "Liqueur", "")))))</f>
        <v/>
      </c>
      <c r="C141" s="50" t="n"/>
      <c r="D141" s="60" t="inlineStr">
        <is>
          <t>El Mayor Limited Extra Anejo Tequila (750mL) $112.92 3</t>
        </is>
      </c>
      <c r="E141" s="52" t="n">
        <v>750</v>
      </c>
      <c r="F141" s="51">
        <f>TRIM(MID(D141, FIND("$", D141), FIND(" ", D141, FIND("$", D141)) - FIND("$", D141))
)</f>
        <v/>
      </c>
      <c r="G141" s="53" t="n">
        <v>29.57</v>
      </c>
      <c r="H141" s="54">
        <f>SUM(E141/G141)</f>
        <v/>
      </c>
      <c r="I141" s="104">
        <f>SUM(F141/H141)</f>
        <v/>
      </c>
      <c r="J141" s="105">
        <f>SUM(4*I141)</f>
        <v/>
      </c>
      <c r="K141" s="100">
        <f>SUM(I141*1.5)</f>
        <v/>
      </c>
      <c r="L141" s="101">
        <f>SUM(K141*4)</f>
        <v/>
      </c>
      <c r="M141" s="102">
        <f>SUM(I141*2)</f>
        <v/>
      </c>
      <c r="N141" s="103">
        <f>SUM(M141*4)</f>
        <v/>
      </c>
    </row>
    <row r="142" ht="15.75" customHeight="1">
      <c r="A142" s="59" t="n"/>
      <c r="B142" s="49">
        <f>IF(OR(ISNUMBER(SEARCH("Tequila", C142)), ISNUMBER(SEARCH("Tequila", D142))), "Tequila",
IF(OR(ISNUMBER(SEARCH("Rum", C142)), ISNUMBER(SEARCH("Rum", D142))), "Rum",
IF(OR(ISNUMBER(SEARCH("Whiskey", C142)), ISNUMBER(SEARCH("Whiskey", D142))), "Whiskey",
IF(OR(ISNUMBER(SEARCH("Gin", C142)), ISNUMBER(SEARCH("Gin", D142))), "Gin",
IF(OR(ISNUMBER(SEARCH("Liqueur", C142)), ISNUMBER(SEARCH("Liqueur", D142))), "Liqueur", "")))))</f>
        <v/>
      </c>
      <c r="C142" s="50" t="n"/>
      <c r="D142" s="60" t="inlineStr">
        <is>
          <t>El Mayor Port Cask Aged Extra Anejo Tequila (750mL) $82.70 3</t>
        </is>
      </c>
      <c r="E142" s="52" t="n">
        <v>750</v>
      </c>
      <c r="F142" s="51">
        <f>TRIM(MID(D142, FIND("$", D142), FIND(" ", D142, FIND("$", D142)) - FIND("$", D142))
)</f>
        <v/>
      </c>
      <c r="G142" s="53" t="n">
        <v>29.57</v>
      </c>
      <c r="H142" s="54">
        <f>SUM(E142/G142)</f>
        <v/>
      </c>
      <c r="I142" s="104">
        <f>SUM(F142/H142)</f>
        <v/>
      </c>
      <c r="J142" s="105">
        <f>SUM(4*I142)</f>
        <v/>
      </c>
      <c r="K142" s="100">
        <f>SUM(I142*1.5)</f>
        <v/>
      </c>
      <c r="L142" s="101">
        <f>SUM(K142*4)</f>
        <v/>
      </c>
      <c r="M142" s="102">
        <f>SUM(I142*2)</f>
        <v/>
      </c>
      <c r="N142" s="103">
        <f>SUM(M142*4)</f>
        <v/>
      </c>
    </row>
    <row r="143" ht="15.75" customHeight="1">
      <c r="A143" s="35" t="n">
        <v>119</v>
      </c>
      <c r="B143" s="49">
        <f>IF(OR(ISNUMBER(SEARCH("Tequila", C143)), ISNUMBER(SEARCH("Tequila", D143))), "Tequila",
IF(OR(ISNUMBER(SEARCH("Rum", C143)), ISNUMBER(SEARCH("Rum", D143))), "Rum",
IF(OR(ISNUMBER(SEARCH("Whiskey", C143)), ISNUMBER(SEARCH("Whiskey", D143))), "Whiskey",
IF(OR(ISNUMBER(SEARCH("Gin", C143)), ISNUMBER(SEARCH("Gin", D143))), "Gin",
IF(OR(ISNUMBER(SEARCH("Liqueur", C143)), ISNUMBER(SEARCH("Liqueur", D143))), "Liqueur", "")))))</f>
        <v/>
      </c>
      <c r="C143" s="58" t="n"/>
      <c r="D143" s="51" t="inlineStr">
        <is>
          <t>El Tequileno Blanco Tequila (750mL/item) - $20.60 3</t>
        </is>
      </c>
      <c r="E143" s="52" t="n">
        <v>750</v>
      </c>
      <c r="F143" s="51">
        <f>TRIM(MID(D143, FIND("$", D143), FIND(" ", D143, FIND("$", D143)) - FIND("$", D143))
)</f>
        <v/>
      </c>
      <c r="G143" s="53" t="n">
        <v>29.57</v>
      </c>
      <c r="H143" s="54">
        <f>SUM(E143/G143)</f>
        <v/>
      </c>
      <c r="I143" s="104">
        <f>SUM(F143/H143)</f>
        <v/>
      </c>
      <c r="J143" s="105">
        <f>SUM(4*I143)</f>
        <v/>
      </c>
      <c r="K143" s="100">
        <f>SUM(I143*1.5)</f>
        <v/>
      </c>
      <c r="L143" s="101">
        <f>SUM(K143*4)</f>
        <v/>
      </c>
      <c r="M143" s="102">
        <f>SUM(I143*2)</f>
        <v/>
      </c>
      <c r="N143" s="103">
        <f>SUM(M143*4)</f>
        <v/>
      </c>
    </row>
    <row r="144" ht="15.75" customHeight="1">
      <c r="A144" s="35" t="n">
        <v>120</v>
      </c>
      <c r="B144" s="49">
        <f>IF(OR(ISNUMBER(SEARCH("Tequila", C144)), ISNUMBER(SEARCH("Tequila", D144))), "Tequila",
IF(OR(ISNUMBER(SEARCH("Rum", C144)), ISNUMBER(SEARCH("Rum", D144))), "Rum",
IF(OR(ISNUMBER(SEARCH("Whiskey", C144)), ISNUMBER(SEARCH("Whiskey", D144))), "Whiskey",
IF(OR(ISNUMBER(SEARCH("Gin", C144)), ISNUMBER(SEARCH("Gin", D144))), "Gin",
IF(OR(ISNUMBER(SEARCH("Liqueur", C144)), ISNUMBER(SEARCH("Liqueur", D144))), "Liqueur", "")))))</f>
        <v/>
      </c>
      <c r="C144" s="57" t="n"/>
      <c r="D144" s="51" t="inlineStr">
        <is>
          <t>El Tequileno Gran Reserva Reposado Tequila (750mL/item) - $45.12 2</t>
        </is>
      </c>
      <c r="E144" s="52" t="n">
        <v>750</v>
      </c>
      <c r="F144" s="51">
        <f>TRIM(MID(D144, FIND("$", D144), FIND(" ", D144, FIND("$", D144)) - FIND("$", D144))
)</f>
        <v/>
      </c>
      <c r="G144" s="53" t="n">
        <v>29.57</v>
      </c>
      <c r="H144" s="54">
        <f>SUM(E144/G144)</f>
        <v/>
      </c>
      <c r="I144" s="104">
        <f>SUM(F144/H144)</f>
        <v/>
      </c>
      <c r="J144" s="105">
        <f>SUM(4*I144)</f>
        <v/>
      </c>
      <c r="K144" s="100">
        <f>SUM(I144*1.5)</f>
        <v/>
      </c>
      <c r="L144" s="101">
        <f>SUM(K144*4)</f>
        <v/>
      </c>
      <c r="M144" s="102">
        <f>SUM(I144*2)</f>
        <v/>
      </c>
      <c r="N144" s="103">
        <f>SUM(M144*4)</f>
        <v/>
      </c>
    </row>
    <row r="145" ht="15.75" customHeight="1">
      <c r="A145" s="35" t="n">
        <v>121</v>
      </c>
      <c r="B145" s="49">
        <f>IF(OR(ISNUMBER(SEARCH("Tequila", C145)), ISNUMBER(SEARCH("Tequila", D145))), "Tequila",
IF(OR(ISNUMBER(SEARCH("Rum", C145)), ISNUMBER(SEARCH("Rum", D145))), "Rum",
IF(OR(ISNUMBER(SEARCH("Whiskey", C145)), ISNUMBER(SEARCH("Whiskey", D145))), "Whiskey",
IF(OR(ISNUMBER(SEARCH("Gin", C145)), ISNUMBER(SEARCH("Gin", D145))), "Gin",
IF(OR(ISNUMBER(SEARCH("Liqueur", C145)), ISNUMBER(SEARCH("Liqueur", D145))), "Liqueur", "")))))</f>
        <v/>
      </c>
      <c r="C145" s="58" t="n"/>
      <c r="D145" s="51" t="inlineStr">
        <is>
          <t>El Tequileno Platino Blanco Tequila (750mL/item) - $43.47 2</t>
        </is>
      </c>
      <c r="E145" s="52" t="n">
        <v>750</v>
      </c>
      <c r="F145" s="51">
        <f>TRIM(MID(D145, FIND("$", D145), FIND(" ", D145, FIND("$", D145)) - FIND("$", D145))
)</f>
        <v/>
      </c>
      <c r="G145" s="53" t="n">
        <v>29.57</v>
      </c>
      <c r="H145" s="54">
        <f>SUM(E145/G145)</f>
        <v/>
      </c>
      <c r="I145" s="104">
        <f>SUM(F145/H145)</f>
        <v/>
      </c>
      <c r="J145" s="105">
        <f>SUM(4*I145)</f>
        <v/>
      </c>
      <c r="K145" s="100">
        <f>SUM(I145*1.5)</f>
        <v/>
      </c>
      <c r="L145" s="101">
        <f>SUM(K145*4)</f>
        <v/>
      </c>
      <c r="M145" s="102">
        <f>SUM(I145*2)</f>
        <v/>
      </c>
      <c r="N145" s="103">
        <f>SUM(M145*4)</f>
        <v/>
      </c>
    </row>
    <row r="146" ht="15.75" customHeight="1">
      <c r="A146" s="35" t="n">
        <v>122</v>
      </c>
      <c r="B146" s="49">
        <f>IF(OR(ISNUMBER(SEARCH("Tequila", C146)), ISNUMBER(SEARCH("Tequila", D146))), "Tequila",
IF(OR(ISNUMBER(SEARCH("Rum", C146)), ISNUMBER(SEARCH("Rum", D146))), "Rum",
IF(OR(ISNUMBER(SEARCH("Whiskey", C146)), ISNUMBER(SEARCH("Whiskey", D146))), "Whiskey",
IF(OR(ISNUMBER(SEARCH("Gin", C146)), ISNUMBER(SEARCH("Gin", D146))), "Gin",
IF(OR(ISNUMBER(SEARCH("Liqueur", C146)), ISNUMBER(SEARCH("Liqueur", D146))), "Liqueur", "")))))</f>
        <v/>
      </c>
      <c r="C146" s="57" t="n"/>
      <c r="D146" s="51" t="inlineStr">
        <is>
          <t>El Tequileno Reposado Cristalino Tequila (750mL/item) - $50.00 2</t>
        </is>
      </c>
      <c r="E146" s="52" t="n">
        <v>750</v>
      </c>
      <c r="F146" s="51">
        <f>TRIM(MID(D146, FIND("$", D146), FIND(" ", D146, FIND("$", D146)) - FIND("$", D146))
)</f>
        <v/>
      </c>
      <c r="G146" s="53" t="n">
        <v>29.57</v>
      </c>
      <c r="H146" s="54">
        <f>SUM(E146/G146)</f>
        <v/>
      </c>
      <c r="I146" s="104">
        <f>SUM(F146/H146)</f>
        <v/>
      </c>
      <c r="J146" s="105">
        <f>SUM(4*I146)</f>
        <v/>
      </c>
      <c r="K146" s="100">
        <f>SUM(I146*1.5)</f>
        <v/>
      </c>
      <c r="L146" s="101">
        <f>SUM(K146*4)</f>
        <v/>
      </c>
      <c r="M146" s="102">
        <f>SUM(I146*2)</f>
        <v/>
      </c>
      <c r="N146" s="103">
        <f>SUM(M146*4)</f>
        <v/>
      </c>
    </row>
    <row r="147" ht="15.75" customHeight="1">
      <c r="A147" s="35" t="n">
        <v>123</v>
      </c>
      <c r="B147" s="49">
        <f>IF(OR(ISNUMBER(SEARCH("Tequila", C147)), ISNUMBER(SEARCH("Tequila", D147))), "Tequila",
IF(OR(ISNUMBER(SEARCH("Rum", C147)), ISNUMBER(SEARCH("Rum", D147))), "Rum",
IF(OR(ISNUMBER(SEARCH("Whiskey", C147)), ISNUMBER(SEARCH("Whiskey", D147))), "Whiskey",
IF(OR(ISNUMBER(SEARCH("Gin", C147)), ISNUMBER(SEARCH("Gin", D147))), "Gin",
IF(OR(ISNUMBER(SEARCH("Liqueur", C147)), ISNUMBER(SEARCH("Liqueur", D147))), "Liqueur", "")))))</f>
        <v/>
      </c>
      <c r="C147" s="57" t="n"/>
      <c r="D147" s="51" t="inlineStr">
        <is>
          <t>El Tequileno Reposado Tequila (750mL/item) - $23.46 3</t>
        </is>
      </c>
      <c r="E147" s="52" t="n">
        <v>750</v>
      </c>
      <c r="F147" s="51">
        <f>TRIM(MID(D147, FIND("$", D147), FIND(" ", D147, FIND("$", D147)) - FIND("$", D147))
)</f>
        <v/>
      </c>
      <c r="G147" s="53" t="n">
        <v>29.57</v>
      </c>
      <c r="H147" s="54">
        <f>SUM(E147/G147)</f>
        <v/>
      </c>
      <c r="I147" s="104">
        <f>SUM(F147/H147)</f>
        <v/>
      </c>
      <c r="J147" s="105">
        <f>SUM(4*I147)</f>
        <v/>
      </c>
      <c r="K147" s="100">
        <f>SUM(I147*1.5)</f>
        <v/>
      </c>
      <c r="L147" s="101">
        <f>SUM(K147*4)</f>
        <v/>
      </c>
      <c r="M147" s="102">
        <f>SUM(I147*2)</f>
        <v/>
      </c>
      <c r="N147" s="103">
        <f>SUM(M147*4)</f>
        <v/>
      </c>
    </row>
    <row r="148" ht="15.75" customHeight="1">
      <c r="A148" s="35" t="n">
        <v>124</v>
      </c>
      <c r="B148" s="49">
        <f>IF(OR(ISNUMBER(SEARCH("Tequila", C148)), ISNUMBER(SEARCH("Tequila", D148))), "Tequila",
IF(OR(ISNUMBER(SEARCH("Rum", C148)), ISNUMBER(SEARCH("Rum", D148))), "Rum",
IF(OR(ISNUMBER(SEARCH("Whiskey", C148)), ISNUMBER(SEARCH("Whiskey", D148))), "Whiskey",
IF(OR(ISNUMBER(SEARCH("Gin", C148)), ISNUMBER(SEARCH("Gin", D148))), "Gin",
IF(OR(ISNUMBER(SEARCH("Liqueur", C148)), ISNUMBER(SEARCH("Liqueur", D148))), "Liqueur", "")))))</f>
        <v/>
      </c>
      <c r="C148" s="52" t="n"/>
      <c r="D148" s="51" t="inlineStr">
        <is>
          <t>El Tesoro Anejo Tequila (750mL/item) - $76.78 1</t>
        </is>
      </c>
      <c r="E148" s="52" t="n">
        <v>750</v>
      </c>
      <c r="F148" s="51">
        <f>TRIM(MID(D148, FIND("$", D148), FIND(" ", D148, FIND("$", D148)) - FIND("$", D148))
)</f>
        <v/>
      </c>
      <c r="G148" s="53" t="n">
        <v>29.57</v>
      </c>
      <c r="H148" s="54">
        <f>SUM(E148/G148)</f>
        <v/>
      </c>
      <c r="I148" s="104">
        <f>SUM(F148/H148)</f>
        <v/>
      </c>
      <c r="J148" s="105">
        <f>SUM(4*I148)</f>
        <v/>
      </c>
      <c r="K148" s="100">
        <f>SUM(I148*1.5)</f>
        <v/>
      </c>
      <c r="L148" s="101">
        <f>SUM(K148*4)</f>
        <v/>
      </c>
      <c r="M148" s="102">
        <f>SUM(I148*2)</f>
        <v/>
      </c>
      <c r="N148" s="103">
        <f>SUM(M148*4)</f>
        <v/>
      </c>
    </row>
    <row r="149" ht="15.75" customHeight="1">
      <c r="A149" s="35" t="n">
        <v>125</v>
      </c>
      <c r="B149" s="49">
        <f>IF(OR(ISNUMBER(SEARCH("Tequila", C149)), ISNUMBER(SEARCH("Tequila", D149))), "Tequila",
IF(OR(ISNUMBER(SEARCH("Rum", C149)), ISNUMBER(SEARCH("Rum", D149))), "Rum",
IF(OR(ISNUMBER(SEARCH("Whiskey", C149)), ISNUMBER(SEARCH("Whiskey", D149))), "Whiskey",
IF(OR(ISNUMBER(SEARCH("Gin", C149)), ISNUMBER(SEARCH("Gin", D149))), "Gin",
IF(OR(ISNUMBER(SEARCH("Liqueur", C149)), ISNUMBER(SEARCH("Liqueur", D149))), "Liqueur", "")))))</f>
        <v/>
      </c>
      <c r="C149" s="58" t="n"/>
      <c r="D149" s="51" t="inlineStr">
        <is>
          <t>El Tesoro Blanco Tequila (750mL/item) - $43.48 1</t>
        </is>
      </c>
      <c r="E149" s="52" t="n">
        <v>750</v>
      </c>
      <c r="F149" s="51">
        <f>TRIM(MID(D149, FIND("$", D149), FIND(" ", D149, FIND("$", D149)) - FIND("$", D149))
)</f>
        <v/>
      </c>
      <c r="G149" s="53" t="n">
        <v>29.57</v>
      </c>
      <c r="H149" s="54">
        <f>SUM(E149/G149)</f>
        <v/>
      </c>
      <c r="I149" s="104">
        <f>SUM(F149/H149)</f>
        <v/>
      </c>
      <c r="J149" s="105">
        <f>SUM(4*I149)</f>
        <v/>
      </c>
      <c r="K149" s="100">
        <f>SUM(I149*1.5)</f>
        <v/>
      </c>
      <c r="L149" s="101">
        <f>SUM(K149*4)</f>
        <v/>
      </c>
      <c r="M149" s="102">
        <f>SUM(I149*2)</f>
        <v/>
      </c>
      <c r="N149" s="103">
        <f>SUM(M149*4)</f>
        <v/>
      </c>
    </row>
    <row r="150" ht="15.75" customHeight="1">
      <c r="A150" s="35" t="n">
        <v>126</v>
      </c>
      <c r="B150" s="49">
        <f>IF(OR(ISNUMBER(SEARCH("Tequila", C150)), ISNUMBER(SEARCH("Tequila", D150))), "Tequila",
IF(OR(ISNUMBER(SEARCH("Rum", C150)), ISNUMBER(SEARCH("Rum", D150))), "Rum",
IF(OR(ISNUMBER(SEARCH("Whiskey", C150)), ISNUMBER(SEARCH("Whiskey", D150))), "Whiskey",
IF(OR(ISNUMBER(SEARCH("Gin", C150)), ISNUMBER(SEARCH("Gin", D150))), "Gin",
IF(OR(ISNUMBER(SEARCH("Liqueur", C150)), ISNUMBER(SEARCH("Liqueur", D150))), "Liqueur", "")))))</f>
        <v/>
      </c>
      <c r="C150" s="57" t="n"/>
      <c r="D150" s="51" t="inlineStr">
        <is>
          <t>El Tesoro Reposado Tequila (750mL/item) - $59.61 2</t>
        </is>
      </c>
      <c r="E150" s="52" t="n">
        <v>750</v>
      </c>
      <c r="F150" s="51">
        <f>TRIM(MID(D150, FIND("$", D150), FIND(" ", D150, FIND("$", D150)) - FIND("$", D150))
)</f>
        <v/>
      </c>
      <c r="G150" s="53" t="n">
        <v>29.57</v>
      </c>
      <c r="H150" s="54">
        <f>SUM(E150/G150)</f>
        <v/>
      </c>
      <c r="I150" s="104">
        <f>SUM(F150/H150)</f>
        <v/>
      </c>
      <c r="J150" s="105">
        <f>SUM(4*I150)</f>
        <v/>
      </c>
      <c r="K150" s="100">
        <f>SUM(I150*1.5)</f>
        <v/>
      </c>
      <c r="L150" s="101">
        <f>SUM(K150*4)</f>
        <v/>
      </c>
      <c r="M150" s="102">
        <f>SUM(I150*2)</f>
        <v/>
      </c>
      <c r="N150" s="103">
        <f>SUM(M150*4)</f>
        <v/>
      </c>
    </row>
    <row r="151" ht="15.75" customHeight="1">
      <c r="A151" s="35" t="n">
        <v>235</v>
      </c>
      <c r="B151" s="49">
        <f>IF(OR(ISNUMBER(SEARCH("Tequila", C151)), ISNUMBER(SEARCH("Tequila", D151))), "Tequila",
IF(OR(ISNUMBER(SEARCH("Rum", C151)), ISNUMBER(SEARCH("Rum", D151))), "Rum",
IF(OR(ISNUMBER(SEARCH("Whiskey", C151)), ISNUMBER(SEARCH("Whiskey", D151))), "Whiskey",
IF(OR(ISNUMBER(SEARCH("Gin", C151)), ISNUMBER(SEARCH("Gin", D151))), "Gin",
IF(OR(ISNUMBER(SEARCH("Liqueur", C151)), ISNUMBER(SEARCH("Liqueur", D151))), "Liqueur", "")))))</f>
        <v/>
      </c>
      <c r="C151" s="52" t="n"/>
      <c r="D151" s="51" t="inlineStr">
        <is>
          <t>Espanita Anejo Tequila (750mL/item) - $36.75 2</t>
        </is>
      </c>
      <c r="E151" s="52" t="n">
        <v>750</v>
      </c>
      <c r="F151" s="51">
        <f>TRIM(MID(D151, FIND("$", D151), FIND(" ", D151, FIND("$", D151)) - FIND("$", D151))
)</f>
        <v/>
      </c>
      <c r="G151" s="53" t="n">
        <v>29.57</v>
      </c>
      <c r="H151" s="54">
        <f>SUM(E151/G151)</f>
        <v/>
      </c>
      <c r="I151" s="104">
        <f>SUM(F151/H151)</f>
        <v/>
      </c>
      <c r="J151" s="105">
        <f>SUM(4*I151)</f>
        <v/>
      </c>
      <c r="K151" s="100">
        <f>SUM(I151*1.5)</f>
        <v/>
      </c>
      <c r="L151" s="101">
        <f>SUM(K151*4)</f>
        <v/>
      </c>
      <c r="M151" s="102">
        <f>SUM(I151*2)</f>
        <v/>
      </c>
      <c r="N151" s="103">
        <f>SUM(M151*4)</f>
        <v/>
      </c>
    </row>
    <row r="152" ht="15.75" customHeight="1">
      <c r="A152" s="35" t="n">
        <v>232</v>
      </c>
      <c r="B152" s="49">
        <f>IF(OR(ISNUMBER(SEARCH("Tequila", C152)), ISNUMBER(SEARCH("Tequila", D152))), "Tequila",
IF(OR(ISNUMBER(SEARCH("Rum", C152)), ISNUMBER(SEARCH("Rum", D152))), "Rum",
IF(OR(ISNUMBER(SEARCH("Whiskey", C152)), ISNUMBER(SEARCH("Whiskey", D152))), "Whiskey",
IF(OR(ISNUMBER(SEARCH("Gin", C152)), ISNUMBER(SEARCH("Gin", D152))), "Gin",
IF(OR(ISNUMBER(SEARCH("Liqueur", C152)), ISNUMBER(SEARCH("Liqueur", D152))), "Liqueur", "")))))</f>
        <v/>
      </c>
      <c r="C152" s="58" t="n"/>
      <c r="D152" s="51" t="inlineStr">
        <is>
          <t>Espanita Blanco Tequila (750mL/item) - $23.92 2</t>
        </is>
      </c>
      <c r="E152" s="52" t="n">
        <v>750</v>
      </c>
      <c r="F152" s="51">
        <f>TRIM(MID(D152, FIND("$", D152), FIND(" ", D152, FIND("$", D152)) - FIND("$", D152))
)</f>
        <v/>
      </c>
      <c r="G152" s="53" t="n">
        <v>29.57</v>
      </c>
      <c r="H152" s="54">
        <f>SUM(E152/G152)</f>
        <v/>
      </c>
      <c r="I152" s="104">
        <f>SUM(F152/H152)</f>
        <v/>
      </c>
      <c r="J152" s="105">
        <f>SUM(4*I152)</f>
        <v/>
      </c>
      <c r="K152" s="100">
        <f>SUM(I152*1.5)</f>
        <v/>
      </c>
      <c r="L152" s="101">
        <f>SUM(K152*4)</f>
        <v/>
      </c>
      <c r="M152" s="102">
        <f>SUM(I152*2)</f>
        <v/>
      </c>
      <c r="N152" s="103">
        <f>SUM(M152*4)</f>
        <v/>
      </c>
    </row>
    <row r="153" ht="15.75" customHeight="1">
      <c r="A153" s="35" t="n">
        <v>234</v>
      </c>
      <c r="B153" s="49">
        <f>IF(OR(ISNUMBER(SEARCH("Tequila", C153)), ISNUMBER(SEARCH("Tequila", D153))), "Tequila",
IF(OR(ISNUMBER(SEARCH("Rum", C153)), ISNUMBER(SEARCH("Rum", D153))), "Rum",
IF(OR(ISNUMBER(SEARCH("Whiskey", C153)), ISNUMBER(SEARCH("Whiskey", D153))), "Whiskey",
IF(OR(ISNUMBER(SEARCH("Gin", C153)), ISNUMBER(SEARCH("Gin", D153))), "Gin",
IF(OR(ISNUMBER(SEARCH("Liqueur", C153)), ISNUMBER(SEARCH("Liqueur", D153))), "Liqueur", "")))))</f>
        <v/>
      </c>
      <c r="C153" s="52" t="n"/>
      <c r="D153" s="51" t="inlineStr">
        <is>
          <t>Espanita Double Barrel Reposado Tequila (750mL/item) - $32.68 2</t>
        </is>
      </c>
      <c r="E153" s="52" t="n">
        <v>750</v>
      </c>
      <c r="F153" s="51">
        <f>TRIM(MID(D153, FIND("$", D153), FIND(" ", D153, FIND("$", D153)) - FIND("$", D153))
)</f>
        <v/>
      </c>
      <c r="G153" s="53" t="n">
        <v>29.57</v>
      </c>
      <c r="H153" s="54">
        <f>SUM(E153/G153)</f>
        <v/>
      </c>
      <c r="I153" s="104">
        <f>SUM(F153/H153)</f>
        <v/>
      </c>
      <c r="J153" s="105">
        <f>SUM(4*I153)</f>
        <v/>
      </c>
      <c r="K153" s="100">
        <f>SUM(I153*1.5)</f>
        <v/>
      </c>
      <c r="L153" s="101">
        <f>SUM(K153*4)</f>
        <v/>
      </c>
      <c r="M153" s="102">
        <f>SUM(I153*2)</f>
        <v/>
      </c>
      <c r="N153" s="103">
        <f>SUM(M153*4)</f>
        <v/>
      </c>
    </row>
    <row r="154" ht="15.75" customHeight="1">
      <c r="A154" s="35" t="n">
        <v>233</v>
      </c>
      <c r="B154" s="49">
        <f>IF(OR(ISNUMBER(SEARCH("Tequila", C154)), ISNUMBER(SEARCH("Tequila", D154))), "Tequila",
IF(OR(ISNUMBER(SEARCH("Rum", C154)), ISNUMBER(SEARCH("Rum", D154))), "Rum",
IF(OR(ISNUMBER(SEARCH("Whiskey", C154)), ISNUMBER(SEARCH("Whiskey", D154))), "Whiskey",
IF(OR(ISNUMBER(SEARCH("Gin", C154)), ISNUMBER(SEARCH("Gin", D154))), "Gin",
IF(OR(ISNUMBER(SEARCH("Liqueur", C154)), ISNUMBER(SEARCH("Liqueur", D154))), "Liqueur", "")))))</f>
        <v/>
      </c>
      <c r="C154" s="57" t="n"/>
      <c r="D154" s="51" t="inlineStr">
        <is>
          <t>Espanita Reposado Tequila (750mL/item) - $25.56 2</t>
        </is>
      </c>
      <c r="E154" s="52" t="n">
        <v>750</v>
      </c>
      <c r="F154" s="51">
        <f>TRIM(MID(D154, FIND("$", D154), FIND(" ", D154, FIND("$", D154)) - FIND("$", D154))
)</f>
        <v/>
      </c>
      <c r="G154" s="53" t="n">
        <v>29.57</v>
      </c>
      <c r="H154" s="54">
        <f>SUM(E154/G154)</f>
        <v/>
      </c>
      <c r="I154" s="104">
        <f>SUM(F154/H154)</f>
        <v/>
      </c>
      <c r="J154" s="105">
        <f>SUM(4*I154)</f>
        <v/>
      </c>
      <c r="K154" s="100">
        <f>SUM(I154*1.5)</f>
        <v/>
      </c>
      <c r="L154" s="101">
        <f>SUM(K154*4)</f>
        <v/>
      </c>
      <c r="M154" s="102">
        <f>SUM(I154*2)</f>
        <v/>
      </c>
      <c r="N154" s="103">
        <f>SUM(M154*4)</f>
        <v/>
      </c>
    </row>
    <row r="155" ht="15.75" customHeight="1">
      <c r="A155" s="59" t="n"/>
      <c r="B155" s="49">
        <f>IF(OR(ISNUMBER(SEARCH("Tequila", C155)), ISNUMBER(SEARCH("Tequila", D155))), "Tequila",
IF(OR(ISNUMBER(SEARCH("Rum", C155)), ISNUMBER(SEARCH("Rum", D155))), "Rum",
IF(OR(ISNUMBER(SEARCH("Whiskey", C155)), ISNUMBER(SEARCH("Whiskey", D155))), "Whiskey",
IF(OR(ISNUMBER(SEARCH("Gin", C155)), ISNUMBER(SEARCH("Gin", D155))), "Gin",
IF(OR(ISNUMBER(SEARCH("Liqueur", C155)), ISNUMBER(SEARCH("Liqueur", D155))), "Liqueur", "")))))</f>
        <v/>
      </c>
      <c r="C155" s="52" t="n"/>
      <c r="D155" s="60" t="inlineStr">
        <is>
          <t>Espolon Anejo Bourbon Barrel Aged Tequila (750ML) $36.12 2</t>
        </is>
      </c>
      <c r="E155" s="52" t="n">
        <v>750</v>
      </c>
      <c r="F155" s="51">
        <f>TRIM(MID(D155, FIND("$", D155), FIND(" ", D155, FIND("$", D155)) - FIND("$", D155))
)</f>
        <v/>
      </c>
      <c r="G155" s="53" t="n">
        <v>29.57</v>
      </c>
      <c r="H155" s="54">
        <f>SUM(E155/G155)</f>
        <v/>
      </c>
      <c r="I155" s="104">
        <f>SUM(F155/H155)</f>
        <v/>
      </c>
      <c r="J155" s="105">
        <f>SUM(4*I155)</f>
        <v/>
      </c>
      <c r="K155" s="100">
        <f>SUM(I155*1.5)</f>
        <v/>
      </c>
      <c r="L155" s="101">
        <f>SUM(K155*4)</f>
        <v/>
      </c>
      <c r="M155" s="102">
        <f>SUM(I155*2)</f>
        <v/>
      </c>
      <c r="N155" s="103">
        <f>SUM(M155*4)</f>
        <v/>
      </c>
    </row>
    <row r="156" ht="15.75" customHeight="1">
      <c r="A156" s="35" t="n">
        <v>127</v>
      </c>
      <c r="B156" s="49">
        <f>IF(OR(ISNUMBER(SEARCH("Tequila", C156)), ISNUMBER(SEARCH("Tequila", D156))), "Tequila",
IF(OR(ISNUMBER(SEARCH("Rum", C156)), ISNUMBER(SEARCH("Rum", D156))), "Rum",
IF(OR(ISNUMBER(SEARCH("Whiskey", C156)), ISNUMBER(SEARCH("Whiskey", D156))), "Whiskey",
IF(OR(ISNUMBER(SEARCH("Gin", C156)), ISNUMBER(SEARCH("Gin", D156))), "Gin",
IF(OR(ISNUMBER(SEARCH("Liqueur", C156)), ISNUMBER(SEARCH("Liqueur", D156))), "Liqueur", "")))))</f>
        <v/>
      </c>
      <c r="C156" s="58" t="n"/>
      <c r="D156" s="51" t="inlineStr">
        <is>
          <t>Espolon Blanco Tequila (750mL/item) - $25.50 2</t>
        </is>
      </c>
      <c r="E156" s="52" t="n">
        <v>750</v>
      </c>
      <c r="F156" s="51">
        <f>TRIM(MID(D156, FIND("$", D156), FIND(" ", D156, FIND("$", D156)) - FIND("$", D156))
)</f>
        <v/>
      </c>
      <c r="G156" s="53" t="n">
        <v>29.57</v>
      </c>
      <c r="H156" s="54">
        <f>SUM(E156/G156)</f>
        <v/>
      </c>
      <c r="I156" s="104">
        <f>SUM(F156/H156)</f>
        <v/>
      </c>
      <c r="J156" s="105">
        <f>SUM(4*I156)</f>
        <v/>
      </c>
      <c r="K156" s="100">
        <f>SUM(I156*1.5)</f>
        <v/>
      </c>
      <c r="L156" s="101">
        <f>SUM(K156*4)</f>
        <v/>
      </c>
      <c r="M156" s="102">
        <f>SUM(I156*2)</f>
        <v/>
      </c>
      <c r="N156" s="103">
        <f>SUM(M156*4)</f>
        <v/>
      </c>
    </row>
    <row r="157" ht="15.75" customHeight="1">
      <c r="A157" s="35" t="n">
        <v>128</v>
      </c>
      <c r="B157" s="49">
        <f>IF(OR(ISNUMBER(SEARCH("Tequila", C157)), ISNUMBER(SEARCH("Tequila", D157))), "Tequila",
IF(OR(ISNUMBER(SEARCH("Rum", C157)), ISNUMBER(SEARCH("Rum", D157))), "Rum",
IF(OR(ISNUMBER(SEARCH("Whiskey", C157)), ISNUMBER(SEARCH("Whiskey", D157))), "Whiskey",
IF(OR(ISNUMBER(SEARCH("Gin", C157)), ISNUMBER(SEARCH("Gin", D157))), "Gin",
IF(OR(ISNUMBER(SEARCH("Liqueur", C157)), ISNUMBER(SEARCH("Liqueur", D157))), "Liqueur", "")))))</f>
        <v/>
      </c>
      <c r="C157" s="57" t="n"/>
      <c r="D157" s="51" t="inlineStr">
        <is>
          <t>Espolon Reposado Tequila (750mL/item) - $27.13 2</t>
        </is>
      </c>
      <c r="E157" s="52" t="n">
        <v>750</v>
      </c>
      <c r="F157" s="51">
        <f>TRIM(MID(D157, FIND("$", D157), FIND(" ", D157, FIND("$", D157)) - FIND("$", D157))
)</f>
        <v/>
      </c>
      <c r="G157" s="53" t="n">
        <v>29.57</v>
      </c>
      <c r="H157" s="54">
        <f>SUM(E157/G157)</f>
        <v/>
      </c>
      <c r="I157" s="104">
        <f>SUM(F157/H157)</f>
        <v/>
      </c>
      <c r="J157" s="105">
        <f>SUM(4*I157)</f>
        <v/>
      </c>
      <c r="K157" s="100">
        <f>SUM(I157*1.5)</f>
        <v/>
      </c>
      <c r="L157" s="101">
        <f>SUM(K157*4)</f>
        <v/>
      </c>
      <c r="M157" s="102">
        <f>SUM(I157*2)</f>
        <v/>
      </c>
      <c r="N157" s="103">
        <f>SUM(M157*4)</f>
        <v/>
      </c>
    </row>
    <row r="158" ht="15.75" customHeight="1">
      <c r="A158" s="59" t="n"/>
      <c r="B158" s="49">
        <f>IF(OR(ISNUMBER(SEARCH("Tequila", C158)), ISNUMBER(SEARCH("Tequila", D158))), "Tequila",
IF(OR(ISNUMBER(SEARCH("Rum", C158)), ISNUMBER(SEARCH("Rum", D158))), "Rum",
IF(OR(ISNUMBER(SEARCH("Whiskey", C158)), ISNUMBER(SEARCH("Whiskey", D158))), "Whiskey",
IF(OR(ISNUMBER(SEARCH("Gin", C158)), ISNUMBER(SEARCH("Gin", D158))), "Gin",
IF(OR(ISNUMBER(SEARCH("Liqueur", C158)), ISNUMBER(SEARCH("Liqueur", D158))), "Liqueur", "")))))</f>
        <v/>
      </c>
      <c r="C158" s="52" t="n"/>
      <c r="D158" s="60" t="inlineStr">
        <is>
          <t>Everclear Grain Alcohol (750mL) $17.06 1</t>
        </is>
      </c>
      <c r="E158" s="52" t="n">
        <v>750</v>
      </c>
      <c r="F158" s="51">
        <f>TRIM(MID(D158, FIND("$", D158), FIND(" ", D158, FIND("$", D158)) - FIND("$", D158))
)</f>
        <v/>
      </c>
      <c r="G158" s="53" t="n">
        <v>29.57</v>
      </c>
      <c r="H158" s="54">
        <f>SUM(E158/G158)</f>
        <v/>
      </c>
      <c r="I158" s="104">
        <f>SUM(F158/H158)</f>
        <v/>
      </c>
      <c r="J158" s="105">
        <f>SUM(4*I158)</f>
        <v/>
      </c>
      <c r="K158" s="100">
        <f>SUM(I158*1.5)</f>
        <v/>
      </c>
      <c r="L158" s="101">
        <f>SUM(K158*4)</f>
        <v/>
      </c>
      <c r="M158" s="102">
        <f>SUM(I158*2)</f>
        <v/>
      </c>
      <c r="N158" s="103">
        <f>SUM(M158*4)</f>
        <v/>
      </c>
    </row>
    <row r="159" ht="15.75" customHeight="1">
      <c r="A159" s="35" t="n">
        <v>65</v>
      </c>
      <c r="B159" s="49">
        <f>IF(OR(ISNUMBER(SEARCH("Tequila", C159)), ISNUMBER(SEARCH("Tequila", D159))), "Tequila",
IF(OR(ISNUMBER(SEARCH("Rum", C159)), ISNUMBER(SEARCH("Rum", D159))), "Rum",
IF(OR(ISNUMBER(SEARCH("Whiskey", C159)), ISNUMBER(SEARCH("Whiskey", D159))), "Whiskey",
IF(OR(ISNUMBER(SEARCH("Gin", C159)), ISNUMBER(SEARCH("Gin", D159))), "Gin",
IF(OR(ISNUMBER(SEARCH("Liqueur", C159)), ISNUMBER(SEARCH("Liqueur", D159))), "Liqueur", "")))))</f>
        <v/>
      </c>
      <c r="C159" s="52" t="n"/>
      <c r="D159" s="51" t="inlineStr">
        <is>
          <t>Excellia Anejo Tequila (750mL/item) - $67.20 1</t>
        </is>
      </c>
      <c r="E159" s="52" t="n">
        <v>750</v>
      </c>
      <c r="F159" s="51">
        <f>TRIM(MID(D159, FIND("$", D159), FIND(" ", D159, FIND("$", D159)) - FIND("$", D159))
)</f>
        <v/>
      </c>
      <c r="G159" s="53" t="n">
        <v>29.57</v>
      </c>
      <c r="H159" s="54">
        <f>SUM(E159/G159)</f>
        <v/>
      </c>
      <c r="I159" s="104">
        <f>SUM(F159/H159)</f>
        <v/>
      </c>
      <c r="J159" s="105">
        <f>SUM(4*I159)</f>
        <v/>
      </c>
      <c r="K159" s="100">
        <f>SUM(I159*1.5)</f>
        <v/>
      </c>
      <c r="L159" s="101">
        <f>SUM(K159*4)</f>
        <v/>
      </c>
      <c r="M159" s="102">
        <f>SUM(I159*2)</f>
        <v/>
      </c>
      <c r="N159" s="103">
        <f>SUM(M159*4)</f>
        <v/>
      </c>
    </row>
    <row r="160" ht="15.75" customHeight="1">
      <c r="A160" s="35" t="n">
        <v>67</v>
      </c>
      <c r="B160" s="49">
        <f>IF(OR(ISNUMBER(SEARCH("Tequila", C160)), ISNUMBER(SEARCH("Tequila", D160))), "Tequila",
IF(OR(ISNUMBER(SEARCH("Rum", C160)), ISNUMBER(SEARCH("Rum", D160))), "Rum",
IF(OR(ISNUMBER(SEARCH("Whiskey", C160)), ISNUMBER(SEARCH("Whiskey", D160))), "Whiskey",
IF(OR(ISNUMBER(SEARCH("Gin", C160)), ISNUMBER(SEARCH("Gin", D160))), "Gin",
IF(OR(ISNUMBER(SEARCH("Liqueur", C160)), ISNUMBER(SEARCH("Liqueur", D160))), "Liqueur", "")))))</f>
        <v/>
      </c>
      <c r="C160" s="58" t="n"/>
      <c r="D160" s="51" t="inlineStr">
        <is>
          <t>Excellia Blanco Tequila (750mL/item) - $36.75 1</t>
        </is>
      </c>
      <c r="E160" s="52" t="n">
        <v>750</v>
      </c>
      <c r="F160" s="51">
        <f>TRIM(MID(D160, FIND("$", D160), FIND(" ", D160, FIND("$", D160)) - FIND("$", D160))
)</f>
        <v/>
      </c>
      <c r="G160" s="53" t="n">
        <v>29.57</v>
      </c>
      <c r="H160" s="54">
        <f>SUM(E160/G160)</f>
        <v/>
      </c>
      <c r="I160" s="104">
        <f>SUM(F160/H160)</f>
        <v/>
      </c>
      <c r="J160" s="105">
        <f>SUM(4*I160)</f>
        <v/>
      </c>
      <c r="K160" s="100">
        <f>SUM(I160*1.5)</f>
        <v/>
      </c>
      <c r="L160" s="101">
        <f>SUM(K160*4)</f>
        <v/>
      </c>
      <c r="M160" s="102">
        <f>SUM(I160*2)</f>
        <v/>
      </c>
      <c r="N160" s="103">
        <f>SUM(M160*4)</f>
        <v/>
      </c>
    </row>
    <row r="161" ht="15.75" customHeight="1">
      <c r="A161" s="35" t="n">
        <v>66</v>
      </c>
      <c r="B161" s="49">
        <f>IF(OR(ISNUMBER(SEARCH("Tequila", C161)), ISNUMBER(SEARCH("Tequila", D161))), "Tequila",
IF(OR(ISNUMBER(SEARCH("Rum", C161)), ISNUMBER(SEARCH("Rum", D161))), "Rum",
IF(OR(ISNUMBER(SEARCH("Whiskey", C161)), ISNUMBER(SEARCH("Whiskey", D161))), "Whiskey",
IF(OR(ISNUMBER(SEARCH("Gin", C161)), ISNUMBER(SEARCH("Gin", D161))), "Gin",
IF(OR(ISNUMBER(SEARCH("Liqueur", C161)), ISNUMBER(SEARCH("Liqueur", D161))), "Liqueur", "")))))</f>
        <v/>
      </c>
      <c r="C161" s="57" t="n"/>
      <c r="D161" s="51" t="inlineStr">
        <is>
          <t>Excellia Reposado Tequila (750mL/item) - $57.75 1</t>
        </is>
      </c>
      <c r="E161" s="52" t="n">
        <v>750</v>
      </c>
      <c r="F161" s="51">
        <f>TRIM(MID(D161, FIND("$", D161), FIND(" ", D161, FIND("$", D161)) - FIND("$", D161))
)</f>
        <v/>
      </c>
      <c r="G161" s="53" t="n">
        <v>29.57</v>
      </c>
      <c r="H161" s="54">
        <f>SUM(E161/G161)</f>
        <v/>
      </c>
      <c r="I161" s="104">
        <f>SUM(F161/H161)</f>
        <v/>
      </c>
      <c r="J161" s="105">
        <f>SUM(4*I161)</f>
        <v/>
      </c>
      <c r="K161" s="100">
        <f>SUM(I161*1.5)</f>
        <v/>
      </c>
      <c r="L161" s="101">
        <f>SUM(K161*4)</f>
        <v/>
      </c>
      <c r="M161" s="102">
        <f>SUM(I161*2)</f>
        <v/>
      </c>
      <c r="N161" s="103">
        <f>SUM(M161*4)</f>
        <v/>
      </c>
    </row>
    <row r="162" ht="15.75" customHeight="1">
      <c r="A162" s="35" t="n">
        <v>247</v>
      </c>
      <c r="B162" s="49">
        <f>IF(OR(ISNUMBER(SEARCH("Tequila", C162)), ISNUMBER(SEARCH("Tequila", D162))), "Tequila",
IF(OR(ISNUMBER(SEARCH("Rum", C162)), ISNUMBER(SEARCH("Rum", D162))), "Rum",
IF(OR(ISNUMBER(SEARCH("Whiskey", C162)), ISNUMBER(SEARCH("Whiskey", D162))), "Whiskey",
IF(OR(ISNUMBER(SEARCH("Gin", C162)), ISNUMBER(SEARCH("Gin", D162))), "Gin",
IF(OR(ISNUMBER(SEARCH("Liqueur", C162)), ISNUMBER(SEARCH("Liqueur", D162))), "Liqueur", "")))))</f>
        <v/>
      </c>
      <c r="C162" s="52" t="n"/>
      <c r="D162" s="51" t="n"/>
      <c r="E162" s="52" t="n"/>
      <c r="F162" s="51" t="n"/>
      <c r="G162" s="53" t="n"/>
      <c r="H162" s="54" t="n"/>
      <c r="I162" s="104" t="n"/>
      <c r="J162" s="105" t="n"/>
      <c r="K162" s="100" t="n"/>
      <c r="L162" s="101" t="n"/>
      <c r="M162" s="102" t="n"/>
      <c r="N162" s="103" t="n"/>
    </row>
    <row r="163" ht="15.75" customHeight="1">
      <c r="A163" s="59" t="n"/>
      <c r="B163" s="49">
        <f>IF(OR(ISNUMBER(SEARCH("Tequila", C163)), ISNUMBER(SEARCH("Tequila", D163))), "Tequila",
IF(OR(ISNUMBER(SEARCH("Rum", C163)), ISNUMBER(SEARCH("Rum", D163))), "Rum",
IF(OR(ISNUMBER(SEARCH("Whiskey", C163)), ISNUMBER(SEARCH("Whiskey", D163))), "Whiskey",
IF(OR(ISNUMBER(SEARCH("Gin", C163)), ISNUMBER(SEARCH("Gin", D163))), "Gin",
IF(OR(ISNUMBER(SEARCH("Liqueur", C163)), ISNUMBER(SEARCH("Liqueur", D163))), "Liqueur", "")))))</f>
        <v/>
      </c>
      <c r="C163" s="52" t="n"/>
      <c r="D163" s="60" t="inlineStr">
        <is>
          <t>Fidencio Tepextate Mezcal Tequila (750mL) $44.10 8</t>
        </is>
      </c>
      <c r="E163" s="52" t="n">
        <v>750</v>
      </c>
      <c r="F163" s="51">
        <f>TRIM(MID(D163, FIND("$", D163), FIND(" ", D163, FIND("$", D163)) - FIND("$", D163))
)</f>
        <v/>
      </c>
      <c r="G163" s="53" t="n">
        <v>29.57</v>
      </c>
      <c r="H163" s="54">
        <f>SUM(E163/G163)</f>
        <v/>
      </c>
      <c r="I163" s="104">
        <f>SUM(F163/H163)</f>
        <v/>
      </c>
      <c r="J163" s="105">
        <f>SUM(4*I163)</f>
        <v/>
      </c>
      <c r="K163" s="100">
        <f>SUM(I163*1.5)</f>
        <v/>
      </c>
      <c r="L163" s="101">
        <f>SUM(K163*4)</f>
        <v/>
      </c>
      <c r="M163" s="102">
        <f>SUM(I163*2)</f>
        <v/>
      </c>
      <c r="N163" s="103">
        <f>SUM(M163*4)</f>
        <v/>
      </c>
    </row>
    <row r="164" ht="15.75" customHeight="1">
      <c r="A164" s="59" t="n"/>
      <c r="B164" s="49">
        <f>IF(OR(ISNUMBER(SEARCH("Tequila", C164)), ISNUMBER(SEARCH("Tequila", D164))), "Tequila",
IF(OR(ISNUMBER(SEARCH("Rum", C164)), ISNUMBER(SEARCH("Rum", D164))), "Rum",
IF(OR(ISNUMBER(SEARCH("Whiskey", C164)), ISNUMBER(SEARCH("Whiskey", D164))), "Whiskey",
IF(OR(ISNUMBER(SEARCH("Gin", C164)), ISNUMBER(SEARCH("Gin", D164))), "Gin",
IF(OR(ISNUMBER(SEARCH("Liqueur", C164)), ISNUMBER(SEARCH("Liqueur", D164))), "Liqueur", "")))))</f>
        <v/>
      </c>
      <c r="C164" s="52" t="n"/>
      <c r="D164" s="60" t="inlineStr">
        <is>
          <t>Flecha Azul Anejo Tequila (750mL) $51.65 1</t>
        </is>
      </c>
      <c r="E164" s="52" t="n">
        <v>750</v>
      </c>
      <c r="F164" s="51">
        <f>TRIM(MID(D164, FIND("$", D164), FIND(" ", D164, FIND("$", D164)) - FIND("$", D164))
)</f>
        <v/>
      </c>
      <c r="G164" s="53" t="n">
        <v>29.57</v>
      </c>
      <c r="H164" s="54">
        <f>SUM(E164/G164)</f>
        <v/>
      </c>
      <c r="I164" s="104">
        <f>SUM(F164/H164)</f>
        <v/>
      </c>
      <c r="J164" s="105">
        <f>SUM(4*I164)</f>
        <v/>
      </c>
      <c r="K164" s="100">
        <f>SUM(I164*1.5)</f>
        <v/>
      </c>
      <c r="L164" s="101">
        <f>SUM(K164*4)</f>
        <v/>
      </c>
      <c r="M164" s="102">
        <f>SUM(I164*2)</f>
        <v/>
      </c>
      <c r="N164" s="103">
        <f>SUM(M164*4)</f>
        <v/>
      </c>
    </row>
    <row r="165" ht="15.75" customHeight="1">
      <c r="A165" s="59" t="n"/>
      <c r="B165" s="49">
        <f>IF(OR(ISNUMBER(SEARCH("Tequila", C165)), ISNUMBER(SEARCH("Tequila", D165))), "Tequila",
IF(OR(ISNUMBER(SEARCH("Rum", C165)), ISNUMBER(SEARCH("Rum", D165))), "Rum",
IF(OR(ISNUMBER(SEARCH("Whiskey", C165)), ISNUMBER(SEARCH("Whiskey", D165))), "Whiskey",
IF(OR(ISNUMBER(SEARCH("Gin", C165)), ISNUMBER(SEARCH("Gin", D165))), "Gin",
IF(OR(ISNUMBER(SEARCH("Liqueur", C165)), ISNUMBER(SEARCH("Liqueur", D165))), "Liqueur", "")))))</f>
        <v/>
      </c>
      <c r="C165" s="58" t="n"/>
      <c r="D165" s="60" t="inlineStr">
        <is>
          <t>Flecha Azul Blanco Tequila (750mL) $43.47 1</t>
        </is>
      </c>
      <c r="E165" s="52" t="n">
        <v>750</v>
      </c>
      <c r="F165" s="51">
        <f>TRIM(MID(D165, FIND("$", D165), FIND(" ", D165, FIND("$", D165)) - FIND("$", D165))
)</f>
        <v/>
      </c>
      <c r="G165" s="53" t="n">
        <v>29.57</v>
      </c>
      <c r="H165" s="54">
        <f>SUM(E165/G165)</f>
        <v/>
      </c>
      <c r="I165" s="104">
        <f>SUM(F165/H165)</f>
        <v/>
      </c>
      <c r="J165" s="105">
        <f>SUM(4*I165)</f>
        <v/>
      </c>
      <c r="K165" s="100">
        <f>SUM(I165*1.5)</f>
        <v/>
      </c>
      <c r="L165" s="101">
        <f>SUM(K165*4)</f>
        <v/>
      </c>
      <c r="M165" s="102">
        <f>SUM(I165*2)</f>
        <v/>
      </c>
      <c r="N165" s="103">
        <f>SUM(M165*4)</f>
        <v/>
      </c>
    </row>
    <row r="166" ht="15.75" customHeight="1">
      <c r="A166" s="59" t="n"/>
      <c r="B166" s="49">
        <f>IF(OR(ISNUMBER(SEARCH("Tequila", C166)), ISNUMBER(SEARCH("Tequila", D166))), "Tequila",
IF(OR(ISNUMBER(SEARCH("Rum", C166)), ISNUMBER(SEARCH("Rum", D166))), "Rum",
IF(OR(ISNUMBER(SEARCH("Whiskey", C166)), ISNUMBER(SEARCH("Whiskey", D166))), "Whiskey",
IF(OR(ISNUMBER(SEARCH("Gin", C166)), ISNUMBER(SEARCH("Gin", D166))), "Gin",
IF(OR(ISNUMBER(SEARCH("Liqueur", C166)), ISNUMBER(SEARCH("Liqueur", D166))), "Liqueur", "")))))</f>
        <v/>
      </c>
      <c r="C166" s="52" t="n"/>
      <c r="D166" s="60" t="inlineStr">
        <is>
          <t>Flecha Azul Cristalino Tequila (750mL) $84.33 2</t>
        </is>
      </c>
      <c r="E166" s="52" t="n">
        <v>750</v>
      </c>
      <c r="F166" s="51">
        <f>TRIM(MID(D166, FIND("$", D166), FIND(" ", D166, FIND("$", D166)) - FIND("$", D166))
)</f>
        <v/>
      </c>
      <c r="G166" s="53" t="n">
        <v>29.57</v>
      </c>
      <c r="H166" s="54">
        <f>SUM(E166/G166)</f>
        <v/>
      </c>
      <c r="I166" s="104">
        <f>SUM(F166/H166)</f>
        <v/>
      </c>
      <c r="J166" s="105">
        <f>SUM(4*I166)</f>
        <v/>
      </c>
      <c r="K166" s="100">
        <f>SUM(I166*1.5)</f>
        <v/>
      </c>
      <c r="L166" s="101">
        <f>SUM(K166*4)</f>
        <v/>
      </c>
      <c r="M166" s="102">
        <f>SUM(I166*2)</f>
        <v/>
      </c>
      <c r="N166" s="103">
        <f>SUM(M166*4)</f>
        <v/>
      </c>
    </row>
    <row r="167" ht="15.75" customHeight="1">
      <c r="A167" s="59" t="n"/>
      <c r="B167" s="49">
        <f>IF(OR(ISNUMBER(SEARCH("Tequila", C167)), ISNUMBER(SEARCH("Tequila", D167))), "Tequila",
IF(OR(ISNUMBER(SEARCH("Rum", C167)), ISNUMBER(SEARCH("Rum", D167))), "Rum",
IF(OR(ISNUMBER(SEARCH("Whiskey", C167)), ISNUMBER(SEARCH("Whiskey", D167))), "Whiskey",
IF(OR(ISNUMBER(SEARCH("Gin", C167)), ISNUMBER(SEARCH("Gin", D167))), "Gin",
IF(OR(ISNUMBER(SEARCH("Liqueur", C167)), ISNUMBER(SEARCH("Liqueur", D167))), "Liqueur", "")))))</f>
        <v/>
      </c>
      <c r="C167" s="57" t="n"/>
      <c r="D167" s="60" t="inlineStr">
        <is>
          <t>Flecha Azul Reposado Tequila (750mL) $47.55 1</t>
        </is>
      </c>
      <c r="E167" s="52" t="n">
        <v>750</v>
      </c>
      <c r="F167" s="51">
        <f>TRIM(MID(D167, FIND("$", D167), FIND(" ", D167, FIND("$", D167)) - FIND("$", D167))
)</f>
        <v/>
      </c>
      <c r="G167" s="53" t="n">
        <v>29.57</v>
      </c>
      <c r="H167" s="54">
        <f>SUM(E167/G167)</f>
        <v/>
      </c>
      <c r="I167" s="104">
        <f>SUM(F167/H167)</f>
        <v/>
      </c>
      <c r="J167" s="105">
        <f>SUM(4*I167)</f>
        <v/>
      </c>
      <c r="K167" s="100">
        <f>SUM(I167*1.5)</f>
        <v/>
      </c>
      <c r="L167" s="101">
        <f>SUM(K167*4)</f>
        <v/>
      </c>
      <c r="M167" s="102">
        <f>SUM(I167*2)</f>
        <v/>
      </c>
      <c r="N167" s="103">
        <f>SUM(M167*4)</f>
        <v/>
      </c>
    </row>
    <row r="168" ht="15.75" customHeight="1">
      <c r="A168" s="35" t="n">
        <v>17</v>
      </c>
      <c r="B168" s="49">
        <f>IF(OR(ISNUMBER(SEARCH("Tequila", C168)), ISNUMBER(SEARCH("Tequila", D168))), "Tequila",
IF(OR(ISNUMBER(SEARCH("Rum", C168)), ISNUMBER(SEARCH("Rum", D168))), "Rum",
IF(OR(ISNUMBER(SEARCH("Whiskey", C168)), ISNUMBER(SEARCH("Whiskey", D168))), "Whiskey",
IF(OR(ISNUMBER(SEARCH("Gin", C168)), ISNUMBER(SEARCH("Gin", D168))), "Gin",
IF(OR(ISNUMBER(SEARCH("Liqueur", C168)), ISNUMBER(SEARCH("Liqueur", D168))), "Liqueur", "")))))</f>
        <v/>
      </c>
      <c r="C168" s="52" t="n"/>
      <c r="D168" s="51" t="inlineStr">
        <is>
          <t>Flor de Cana 4yr Rum (750ML / item) $15.70 3</t>
        </is>
      </c>
      <c r="E168" s="52" t="n">
        <v>750</v>
      </c>
      <c r="F168" s="51">
        <f>TRIM(MID(D168, FIND("$", D168), FIND(" ", D168, FIND("$", D168)) - FIND("$", D168))
)</f>
        <v/>
      </c>
      <c r="G168" s="53" t="n">
        <v>29.57</v>
      </c>
      <c r="H168" s="54">
        <f>SUM(E168/G168)</f>
        <v/>
      </c>
      <c r="I168" s="104">
        <f>SUM(F168/H168)</f>
        <v/>
      </c>
      <c r="J168" s="105">
        <f>SUM(4*I168)</f>
        <v/>
      </c>
      <c r="K168" s="100">
        <f>SUM(I168*1.5)</f>
        <v/>
      </c>
      <c r="L168" s="101">
        <f>SUM(K168*4)</f>
        <v/>
      </c>
      <c r="M168" s="102">
        <f>SUM(I168*2)</f>
        <v/>
      </c>
      <c r="N168" s="103">
        <f>SUM(M168*4)</f>
        <v/>
      </c>
    </row>
    <row r="169" ht="15.75" customHeight="1">
      <c r="A169" s="35" t="n">
        <v>317</v>
      </c>
      <c r="B169" s="49">
        <f>IF(OR(ISNUMBER(SEARCH("Tequila", C169)), ISNUMBER(SEARCH("Tequila", D169))), "Tequila",
IF(OR(ISNUMBER(SEARCH("Rum", C169)), ISNUMBER(SEARCH("Rum", D169))), "Rum",
IF(OR(ISNUMBER(SEARCH("Whiskey", C169)), ISNUMBER(SEARCH("Whiskey", D169))), "Whiskey",
IF(OR(ISNUMBER(SEARCH("Gin", C169)), ISNUMBER(SEARCH("Gin", D169))), "Gin",
IF(OR(ISNUMBER(SEARCH("Liqueur", C169)), ISNUMBER(SEARCH("Liqueur", D169))), "Liqueur", "")))))</f>
        <v/>
      </c>
      <c r="C169" s="52" t="n"/>
      <c r="D169" s="51" t="n"/>
      <c r="E169" s="52" t="n"/>
      <c r="F169" s="51" t="n"/>
      <c r="G169" s="53" t="n"/>
      <c r="H169" s="54" t="n"/>
      <c r="I169" s="104" t="n"/>
      <c r="J169" s="105" t="n"/>
      <c r="K169" s="100" t="n"/>
      <c r="L169" s="101" t="n"/>
      <c r="M169" s="102" t="n"/>
      <c r="N169" s="103" t="n"/>
    </row>
    <row r="170" ht="15.75" customHeight="1">
      <c r="A170" s="35" t="n">
        <v>310</v>
      </c>
      <c r="B170" s="49">
        <f>IF(OR(ISNUMBER(SEARCH("Tequila", C170)), ISNUMBER(SEARCH("Tequila", D170))), "Tequila",
IF(OR(ISNUMBER(SEARCH("Rum", C170)), ISNUMBER(SEARCH("Rum", D170))), "Rum",
IF(OR(ISNUMBER(SEARCH("Whiskey", C170)), ISNUMBER(SEARCH("Whiskey", D170))), "Whiskey",
IF(OR(ISNUMBER(SEARCH("Gin", C170)), ISNUMBER(SEARCH("Gin", D170))), "Gin",
IF(OR(ISNUMBER(SEARCH("Liqueur", C170)), ISNUMBER(SEARCH("Liqueur", D170))), "Liqueur", "")))))</f>
        <v/>
      </c>
      <c r="C170" s="52" t="n"/>
      <c r="D170" s="51" t="inlineStr">
        <is>
          <t>Fortaleza Anejo Tequila (750mL/item) - $73.44 2</t>
        </is>
      </c>
      <c r="E170" s="52" t="n">
        <v>750</v>
      </c>
      <c r="F170" s="51">
        <f>TRIM(MID(D170, FIND("$", D170), FIND(" ", D170, FIND("$", D170)) - FIND("$", D170))
)</f>
        <v/>
      </c>
      <c r="G170" s="53" t="n">
        <v>29.57</v>
      </c>
      <c r="H170" s="54">
        <f>SUM(E170/G170)</f>
        <v/>
      </c>
      <c r="I170" s="104">
        <f>SUM(F170/H170)</f>
        <v/>
      </c>
      <c r="J170" s="105">
        <f>SUM(4*I170)</f>
        <v/>
      </c>
      <c r="K170" s="100">
        <f>SUM(I170*1.5)</f>
        <v/>
      </c>
      <c r="L170" s="101">
        <f>SUM(K170*4)</f>
        <v/>
      </c>
      <c r="M170" s="102">
        <f>SUM(I170*2)</f>
        <v/>
      </c>
      <c r="N170" s="103">
        <f>SUM(M170*4)</f>
        <v/>
      </c>
    </row>
    <row r="171" ht="15.75" customHeight="1">
      <c r="A171" s="35" t="n">
        <v>311</v>
      </c>
      <c r="B171" s="49">
        <f>IF(OR(ISNUMBER(SEARCH("Tequila", C171)), ISNUMBER(SEARCH("Tequila", D171))), "Tequila",
IF(OR(ISNUMBER(SEARCH("Rum", C171)), ISNUMBER(SEARCH("Rum", D171))), "Rum",
IF(OR(ISNUMBER(SEARCH("Whiskey", C171)), ISNUMBER(SEARCH("Whiskey", D171))), "Whiskey",
IF(OR(ISNUMBER(SEARCH("Gin", C171)), ISNUMBER(SEARCH("Gin", D171))), "Gin",
IF(OR(ISNUMBER(SEARCH("Liqueur", C171)), ISNUMBER(SEARCH("Liqueur", D171))), "Liqueur", "")))))</f>
        <v/>
      </c>
      <c r="C171" s="58" t="n"/>
      <c r="D171" s="51" t="inlineStr">
        <is>
          <t>Fortaleza Blanco Still Strength Tequila (750mL/item) - $52.02 1</t>
        </is>
      </c>
      <c r="E171" s="52" t="n">
        <v>750</v>
      </c>
      <c r="F171" s="51">
        <f>TRIM(MID(D171, FIND("$", D171), FIND(" ", D171, FIND("$", D171)) - FIND("$", D171))
)</f>
        <v/>
      </c>
      <c r="G171" s="53" t="n">
        <v>29.57</v>
      </c>
      <c r="H171" s="54">
        <f>SUM(E171/G171)</f>
        <v/>
      </c>
      <c r="I171" s="104">
        <f>SUM(F171/H171)</f>
        <v/>
      </c>
      <c r="J171" s="105">
        <f>SUM(4*I171)</f>
        <v/>
      </c>
      <c r="K171" s="100">
        <f>SUM(I171*1.5)</f>
        <v/>
      </c>
      <c r="L171" s="101">
        <f>SUM(K171*4)</f>
        <v/>
      </c>
      <c r="M171" s="102">
        <f>SUM(I171*2)</f>
        <v/>
      </c>
      <c r="N171" s="103">
        <f>SUM(M171*4)</f>
        <v/>
      </c>
    </row>
    <row r="172" ht="15.75" customHeight="1">
      <c r="A172" s="35" t="n">
        <v>312</v>
      </c>
      <c r="B172" s="49">
        <f>IF(OR(ISNUMBER(SEARCH("Tequila", C172)), ISNUMBER(SEARCH("Tequila", D172))), "Tequila",
IF(OR(ISNUMBER(SEARCH("Rum", C172)), ISNUMBER(SEARCH("Rum", D172))), "Rum",
IF(OR(ISNUMBER(SEARCH("Whiskey", C172)), ISNUMBER(SEARCH("Whiskey", D172))), "Whiskey",
IF(OR(ISNUMBER(SEARCH("Gin", C172)), ISNUMBER(SEARCH("Gin", D172))), "Gin",
IF(OR(ISNUMBER(SEARCH("Liqueur", C172)), ISNUMBER(SEARCH("Liqueur", D172))), "Liqueur", "")))))</f>
        <v/>
      </c>
      <c r="C172" s="58" t="n"/>
      <c r="D172" s="51" t="inlineStr">
        <is>
          <t>Fortaleza Blanco Tequila (750mL/item) - $45.15 2</t>
        </is>
      </c>
      <c r="E172" s="52" t="n">
        <v>750</v>
      </c>
      <c r="F172" s="51">
        <f>TRIM(MID(D172, FIND("$", D172), FIND(" ", D172, FIND("$", D172)) - FIND("$", D172))
)</f>
        <v/>
      </c>
      <c r="G172" s="53" t="n">
        <v>29.57</v>
      </c>
      <c r="H172" s="54">
        <f>SUM(E172/G172)</f>
        <v/>
      </c>
      <c r="I172" s="104">
        <f>SUM(F172/H172)</f>
        <v/>
      </c>
      <c r="J172" s="105">
        <f>SUM(4*I172)</f>
        <v/>
      </c>
      <c r="K172" s="100">
        <f>SUM(I172*1.5)</f>
        <v/>
      </c>
      <c r="L172" s="101">
        <f>SUM(K172*4)</f>
        <v/>
      </c>
      <c r="M172" s="102">
        <f>SUM(I172*2)</f>
        <v/>
      </c>
      <c r="N172" s="103">
        <f>SUM(M172*4)</f>
        <v/>
      </c>
    </row>
    <row r="173" ht="15.75" customHeight="1">
      <c r="A173" s="35" t="n">
        <v>313</v>
      </c>
      <c r="B173" s="49">
        <f>IF(OR(ISNUMBER(SEARCH("Tequila", C173)), ISNUMBER(SEARCH("Tequila", D173))), "Tequila",
IF(OR(ISNUMBER(SEARCH("Rum", C173)), ISNUMBER(SEARCH("Rum", D173))), "Rum",
IF(OR(ISNUMBER(SEARCH("Whiskey", C173)), ISNUMBER(SEARCH("Whiskey", D173))), "Whiskey",
IF(OR(ISNUMBER(SEARCH("Gin", C173)), ISNUMBER(SEARCH("Gin", D173))), "Gin",
IF(OR(ISNUMBER(SEARCH("Liqueur", C173)), ISNUMBER(SEARCH("Liqueur", D173))), "Liqueur", "")))))</f>
        <v/>
      </c>
      <c r="C173" s="57" t="n"/>
      <c r="D173" s="51" t="inlineStr">
        <is>
          <t>Fortaleza Reposado Tequila (750mL/item) - $53.55 1</t>
        </is>
      </c>
      <c r="E173" s="52" t="n">
        <v>750</v>
      </c>
      <c r="F173" s="51">
        <f>TRIM(MID(D173, FIND("$", D173), FIND(" ", D173, FIND("$", D173)) - FIND("$", D173))
)</f>
        <v/>
      </c>
      <c r="G173" s="53" t="n">
        <v>29.57</v>
      </c>
      <c r="H173" s="54">
        <f>SUM(E173/G173)</f>
        <v/>
      </c>
      <c r="I173" s="104">
        <f>SUM(F173/H173)</f>
        <v/>
      </c>
      <c r="J173" s="105">
        <f>SUM(4*I173)</f>
        <v/>
      </c>
      <c r="K173" s="100">
        <f>SUM(I173*1.5)</f>
        <v/>
      </c>
      <c r="L173" s="101">
        <f>SUM(K173*4)</f>
        <v/>
      </c>
      <c r="M173" s="102">
        <f>SUM(I173*2)</f>
        <v/>
      </c>
      <c r="N173" s="103">
        <f>SUM(M173*4)</f>
        <v/>
      </c>
    </row>
    <row r="174" ht="15.75" customHeight="1">
      <c r="A174" s="35" t="n">
        <v>285</v>
      </c>
      <c r="B174" s="49">
        <f>IF(OR(ISNUMBER(SEARCH("Tequila", C174)), ISNUMBER(SEARCH("Tequila", D174))), "Tequila",
IF(OR(ISNUMBER(SEARCH("Rum", C174)), ISNUMBER(SEARCH("Rum", D174))), "Rum",
IF(OR(ISNUMBER(SEARCH("Whiskey", C174)), ISNUMBER(SEARCH("Whiskey", D174))), "Whiskey",
IF(OR(ISNUMBER(SEARCH("Gin", C174)), ISNUMBER(SEARCH("Gin", D174))), "Gin",
IF(OR(ISNUMBER(SEARCH("Liqueur", C174)), ISNUMBER(SEARCH("Liqueur", D174))), "Liqueur", "")))))</f>
        <v/>
      </c>
      <c r="C174" s="52" t="n"/>
      <c r="D174" s="51" t="n"/>
      <c r="E174" s="52" t="n"/>
      <c r="F174" s="51" t="n"/>
      <c r="G174" s="53" t="n"/>
      <c r="H174" s="54" t="n"/>
      <c r="I174" s="104" t="n"/>
      <c r="J174" s="105" t="n"/>
      <c r="K174" s="100" t="n"/>
      <c r="L174" s="101" t="n"/>
      <c r="M174" s="102" t="n"/>
      <c r="N174" s="103" t="n"/>
    </row>
    <row r="175" ht="15.75" customHeight="1">
      <c r="A175" s="35" t="n">
        <v>302</v>
      </c>
      <c r="B175" s="49">
        <f>IF(OR(ISNUMBER(SEARCH("Tequila", C175)), ISNUMBER(SEARCH("Tequila", D175))), "Tequila",
IF(OR(ISNUMBER(SEARCH("Rum", C175)), ISNUMBER(SEARCH("Rum", D175))), "Rum",
IF(OR(ISNUMBER(SEARCH("Whiskey", C175)), ISNUMBER(SEARCH("Whiskey", D175))), "Whiskey",
IF(OR(ISNUMBER(SEARCH("Gin", C175)), ISNUMBER(SEARCH("Gin", D175))), "Gin",
IF(OR(ISNUMBER(SEARCH("Liqueur", C175)), ISNUMBER(SEARCH("Liqueur", D175))), "Liqueur", "")))))</f>
        <v/>
      </c>
      <c r="C175" s="50" t="n"/>
      <c r="D175" s="51" t="inlineStr">
        <is>
          <t>Fuentaseca RSV 11yr Anejo Tequila (750mL/item) - $301.19 6</t>
        </is>
      </c>
      <c r="E175" s="52" t="n">
        <v>750</v>
      </c>
      <c r="F175" s="51">
        <f>TRIM(MID(D175, FIND("$", D175), FIND(" ", D175, FIND("$", D175)) - FIND("$", D175))
)</f>
        <v/>
      </c>
      <c r="G175" s="53" t="n">
        <v>29.57</v>
      </c>
      <c r="H175" s="54">
        <f>SUM(E175/G175)</f>
        <v/>
      </c>
      <c r="I175" s="104">
        <f>SUM(F175/H175)</f>
        <v/>
      </c>
      <c r="J175" s="105">
        <f>SUM(4*I175)</f>
        <v/>
      </c>
      <c r="K175" s="100">
        <f>SUM(I175*1.5)</f>
        <v/>
      </c>
      <c r="L175" s="101">
        <f>SUM(K175*4)</f>
        <v/>
      </c>
      <c r="M175" s="102">
        <f>SUM(I175*2)</f>
        <v/>
      </c>
      <c r="N175" s="103">
        <f>SUM(M175*4)</f>
        <v/>
      </c>
    </row>
    <row r="176" ht="15.75" customHeight="1">
      <c r="A176" s="35" t="n">
        <v>301</v>
      </c>
      <c r="B176" s="49">
        <f>IF(OR(ISNUMBER(SEARCH("Tequila", C176)), ISNUMBER(SEARCH("Tequila", D176))), "Tequila",
IF(OR(ISNUMBER(SEARCH("Rum", C176)), ISNUMBER(SEARCH("Rum", D176))), "Rum",
IF(OR(ISNUMBER(SEARCH("Whiskey", C176)), ISNUMBER(SEARCH("Whiskey", D176))), "Whiskey",
IF(OR(ISNUMBER(SEARCH("Gin", C176)), ISNUMBER(SEARCH("Gin", D176))), "Gin",
IF(OR(ISNUMBER(SEARCH("Liqueur", C176)), ISNUMBER(SEARCH("Liqueur", D176))), "Liqueur", "")))))</f>
        <v/>
      </c>
      <c r="C176" s="50" t="n"/>
      <c r="D176" s="51" t="inlineStr">
        <is>
          <t>Fuentaseca RSV 15yr Anejo Tequila (750mL/item) - $481.97 7</t>
        </is>
      </c>
      <c r="E176" s="52" t="n">
        <v>750</v>
      </c>
      <c r="F176" s="51">
        <f>TRIM(MID(D176, FIND("$", D176), FIND(" ", D176, FIND("$", D176)) - FIND("$", D176))
)</f>
        <v/>
      </c>
      <c r="G176" s="53" t="n">
        <v>29.57</v>
      </c>
      <c r="H176" s="54">
        <f>SUM(E176/G176)</f>
        <v/>
      </c>
      <c r="I176" s="104">
        <f>SUM(F176/H176)</f>
        <v/>
      </c>
      <c r="J176" s="105">
        <f>SUM(4*I176)</f>
        <v/>
      </c>
      <c r="K176" s="100">
        <f>SUM(I176*1.5)</f>
        <v/>
      </c>
      <c r="L176" s="101">
        <f>SUM(K176*4)</f>
        <v/>
      </c>
      <c r="M176" s="102">
        <f>SUM(I176*2)</f>
        <v/>
      </c>
      <c r="N176" s="103">
        <f>SUM(M176*4)</f>
        <v/>
      </c>
    </row>
    <row r="177" ht="15.75" customHeight="1">
      <c r="A177" s="35" t="n">
        <v>300</v>
      </c>
      <c r="B177" s="49">
        <f>IF(OR(ISNUMBER(SEARCH("Tequila", C177)), ISNUMBER(SEARCH("Tequila", D177))), "Tequila",
IF(OR(ISNUMBER(SEARCH("Rum", C177)), ISNUMBER(SEARCH("Rum", D177))), "Rum",
IF(OR(ISNUMBER(SEARCH("Whiskey", C177)), ISNUMBER(SEARCH("Whiskey", D177))), "Whiskey",
IF(OR(ISNUMBER(SEARCH("Gin", C177)), ISNUMBER(SEARCH("Gin", D177))), "Gin",
IF(OR(ISNUMBER(SEARCH("Liqueur", C177)), ISNUMBER(SEARCH("Liqueur", D177))), "Liqueur", "")))))</f>
        <v/>
      </c>
      <c r="C177" s="50" t="n"/>
      <c r="D177" s="51" t="inlineStr">
        <is>
          <t>Fuentaseca RSV 18yr Anejo Tequila (750mL/item) - $650.96 5</t>
        </is>
      </c>
      <c r="E177" s="52" t="n">
        <v>750</v>
      </c>
      <c r="F177" s="51">
        <f>TRIM(MID(D177, FIND("$", D177), FIND(" ", D177, FIND("$", D177)) - FIND("$", D177))
)</f>
        <v/>
      </c>
      <c r="G177" s="53" t="n">
        <v>29.57</v>
      </c>
      <c r="H177" s="54">
        <f>SUM(E177/G177)</f>
        <v/>
      </c>
      <c r="I177" s="104">
        <f>SUM(F177/H177)</f>
        <v/>
      </c>
      <c r="J177" s="105">
        <f>SUM(4*I177)</f>
        <v/>
      </c>
      <c r="K177" s="100">
        <f>SUM(I177*1.5)</f>
        <v/>
      </c>
      <c r="L177" s="101">
        <f>SUM(K177*4)</f>
        <v/>
      </c>
      <c r="M177" s="102">
        <f>SUM(I177*2)</f>
        <v/>
      </c>
      <c r="N177" s="103">
        <f>SUM(M177*4)</f>
        <v/>
      </c>
    </row>
    <row r="178" ht="15.75" customHeight="1">
      <c r="A178" s="35" t="n">
        <v>299</v>
      </c>
      <c r="B178" s="49">
        <f>IF(OR(ISNUMBER(SEARCH("Tequila", C178)), ISNUMBER(SEARCH("Tequila", D178))), "Tequila",
IF(OR(ISNUMBER(SEARCH("Rum", C178)), ISNUMBER(SEARCH("Rum", D178))), "Rum",
IF(OR(ISNUMBER(SEARCH("Whiskey", C178)), ISNUMBER(SEARCH("Whiskey", D178))), "Whiskey",
IF(OR(ISNUMBER(SEARCH("Gin", C178)), ISNUMBER(SEARCH("Gin", D178))), "Gin",
IF(OR(ISNUMBER(SEARCH("Liqueur", C178)), ISNUMBER(SEARCH("Liqueur", D178))), "Liqueur", "")))))</f>
        <v/>
      </c>
      <c r="C178" s="50" t="n"/>
      <c r="D178" s="51" t="inlineStr">
        <is>
          <t>Fuentaseca RSV 21yr Anejo Tequila (750mL/item) - $977.15 7</t>
        </is>
      </c>
      <c r="E178" s="52" t="n">
        <v>750</v>
      </c>
      <c r="F178" s="51">
        <f>TRIM(MID(D178, FIND("$", D178), FIND(" ", D178, FIND("$", D178)) - FIND("$", D178))
)</f>
        <v/>
      </c>
      <c r="G178" s="53" t="n">
        <v>29.57</v>
      </c>
      <c r="H178" s="54">
        <f>SUM(E178/G178)</f>
        <v/>
      </c>
      <c r="I178" s="104">
        <f>SUM(F178/H178)</f>
        <v/>
      </c>
      <c r="J178" s="105">
        <f>SUM(4*I178)</f>
        <v/>
      </c>
      <c r="K178" s="100">
        <f>SUM(I178*1.5)</f>
        <v/>
      </c>
      <c r="L178" s="101">
        <f>SUM(K178*4)</f>
        <v/>
      </c>
      <c r="M178" s="102">
        <f>SUM(I178*2)</f>
        <v/>
      </c>
      <c r="N178" s="103">
        <f>SUM(M178*4)</f>
        <v/>
      </c>
    </row>
    <row r="179" ht="15.75" customHeight="1">
      <c r="A179" s="35" t="n">
        <v>298</v>
      </c>
      <c r="B179" s="49">
        <f>IF(OR(ISNUMBER(SEARCH("Tequila", C179)), ISNUMBER(SEARCH("Tequila", D179))), "Tequila",
IF(OR(ISNUMBER(SEARCH("Rum", C179)), ISNUMBER(SEARCH("Rum", D179))), "Rum",
IF(OR(ISNUMBER(SEARCH("Whiskey", C179)), ISNUMBER(SEARCH("Whiskey", D179))), "Whiskey",
IF(OR(ISNUMBER(SEARCH("Gin", C179)), ISNUMBER(SEARCH("Gin", D179))), "Gin",
IF(OR(ISNUMBER(SEARCH("Liqueur", C179)), ISNUMBER(SEARCH("Liqueur", D179))), "Liqueur", "")))))</f>
        <v/>
      </c>
      <c r="C179" s="50" t="n"/>
      <c r="D179" s="51" t="inlineStr">
        <is>
          <t>Fuentaseca RSV 5yr Anejo Tequila (750mL/item) - $157.20 1</t>
        </is>
      </c>
      <c r="E179" s="52" t="n">
        <v>750</v>
      </c>
      <c r="F179" s="51">
        <f>TRIM(MID(D179, FIND("$", D179), FIND(" ", D179, FIND("$", D179)) - FIND("$", D179))
)</f>
        <v/>
      </c>
      <c r="G179" s="53" t="n">
        <v>29.57</v>
      </c>
      <c r="H179" s="54">
        <f>SUM(E179/G179)</f>
        <v/>
      </c>
      <c r="I179" s="104">
        <f>SUM(F179/H179)</f>
        <v/>
      </c>
      <c r="J179" s="105">
        <f>SUM(4*I179)</f>
        <v/>
      </c>
      <c r="K179" s="100">
        <f>SUM(I179*1.5)</f>
        <v/>
      </c>
      <c r="L179" s="101">
        <f>SUM(K179*4)</f>
        <v/>
      </c>
      <c r="M179" s="102">
        <f>SUM(I179*2)</f>
        <v/>
      </c>
      <c r="N179" s="103">
        <f>SUM(M179*4)</f>
        <v/>
      </c>
    </row>
    <row r="180" ht="15.75" customHeight="1">
      <c r="A180" s="35" t="n">
        <v>297</v>
      </c>
      <c r="B180" s="49">
        <f>IF(OR(ISNUMBER(SEARCH("Tequila", C180)), ISNUMBER(SEARCH("Tequila", D180))), "Tequila",
IF(OR(ISNUMBER(SEARCH("Rum", C180)), ISNUMBER(SEARCH("Rum", D180))), "Rum",
IF(OR(ISNUMBER(SEARCH("Whiskey", C180)), ISNUMBER(SEARCH("Whiskey", D180))), "Whiskey",
IF(OR(ISNUMBER(SEARCH("Gin", C180)), ISNUMBER(SEARCH("Gin", D180))), "Gin",
IF(OR(ISNUMBER(SEARCH("Liqueur", C180)), ISNUMBER(SEARCH("Liqueur", D180))), "Liqueur", "")))))</f>
        <v/>
      </c>
      <c r="C180" s="50" t="n"/>
      <c r="D180" s="51" t="inlineStr">
        <is>
          <t>Fuentaseca RSV 7yr Anejo Tequila (750mL/item) - $200.42 6</t>
        </is>
      </c>
      <c r="E180" s="52" t="n">
        <v>750</v>
      </c>
      <c r="F180" s="51">
        <f>TRIM(MID(D180, FIND("$", D180), FIND(" ", D180, FIND("$", D180)) - FIND("$", D180))
)</f>
        <v/>
      </c>
      <c r="G180" s="53" t="n">
        <v>29.57</v>
      </c>
      <c r="H180" s="54">
        <f>SUM(E180/G180)</f>
        <v/>
      </c>
      <c r="I180" s="104">
        <f>SUM(F180/H180)</f>
        <v/>
      </c>
      <c r="J180" s="105">
        <f>SUM(4*I180)</f>
        <v/>
      </c>
      <c r="K180" s="100">
        <f>SUM(I180*1.5)</f>
        <v/>
      </c>
      <c r="L180" s="101">
        <f>SUM(K180*4)</f>
        <v/>
      </c>
      <c r="M180" s="102">
        <f>SUM(I180*2)</f>
        <v/>
      </c>
      <c r="N180" s="103">
        <f>SUM(M180*4)</f>
        <v/>
      </c>
    </row>
    <row r="181" ht="15.75" customHeight="1">
      <c r="A181" s="35" t="n">
        <v>296</v>
      </c>
      <c r="B181" s="49">
        <f>IF(OR(ISNUMBER(SEARCH("Tequila", C181)), ISNUMBER(SEARCH("Tequila", D181))), "Tequila",
IF(OR(ISNUMBER(SEARCH("Rum", C181)), ISNUMBER(SEARCH("Rum", D181))), "Rum",
IF(OR(ISNUMBER(SEARCH("Whiskey", C181)), ISNUMBER(SEARCH("Whiskey", D181))), "Whiskey",
IF(OR(ISNUMBER(SEARCH("Gin", C181)), ISNUMBER(SEARCH("Gin", D181))), "Gin",
IF(OR(ISNUMBER(SEARCH("Liqueur", C181)), ISNUMBER(SEARCH("Liqueur", D181))), "Liqueur", "")))))</f>
        <v/>
      </c>
      <c r="C181" s="50" t="n"/>
      <c r="D181" s="51" t="inlineStr">
        <is>
          <t>Fuentaseca RSV 9yr Anejo Tequila (750mL/item) - $239.72 2</t>
        </is>
      </c>
      <c r="E181" s="52" t="n">
        <v>750</v>
      </c>
      <c r="F181" s="51">
        <f>TRIM(MID(D181, FIND("$", D181), FIND(" ", D181, FIND("$", D181)) - FIND("$", D181))
)</f>
        <v/>
      </c>
      <c r="G181" s="53" t="n">
        <v>29.57</v>
      </c>
      <c r="H181" s="54">
        <f>SUM(E181/G181)</f>
        <v/>
      </c>
      <c r="I181" s="104">
        <f>SUM(F181/H181)</f>
        <v/>
      </c>
      <c r="J181" s="105">
        <f>SUM(4*I181)</f>
        <v/>
      </c>
      <c r="K181" s="100">
        <f>SUM(I181*1.5)</f>
        <v/>
      </c>
      <c r="L181" s="101">
        <f>SUM(K181*4)</f>
        <v/>
      </c>
      <c r="M181" s="102">
        <f>SUM(I181*2)</f>
        <v/>
      </c>
      <c r="N181" s="103">
        <f>SUM(M181*4)</f>
        <v/>
      </c>
    </row>
    <row r="182" ht="15.75" customHeight="1">
      <c r="A182" s="35" t="n">
        <v>307</v>
      </c>
      <c r="B182" s="49">
        <f>IF(OR(ISNUMBER(SEARCH("Tequila", C182)), ISNUMBER(SEARCH("Tequila", D182))), "Tequila",
IF(OR(ISNUMBER(SEARCH("Rum", C182)), ISNUMBER(SEARCH("Rum", D182))), "Rum",
IF(OR(ISNUMBER(SEARCH("Whiskey", C182)), ISNUMBER(SEARCH("Whiskey", D182))), "Whiskey",
IF(OR(ISNUMBER(SEARCH("Gin", C182)), ISNUMBER(SEARCH("Gin", D182))), "Gin",
IF(OR(ISNUMBER(SEARCH("Liqueur", C182)), ISNUMBER(SEARCH("Liqueur", D182))), "Liqueur", "")))))</f>
        <v/>
      </c>
      <c r="C182" s="52" t="n"/>
      <c r="D182" s="51" t="inlineStr">
        <is>
          <t>G4 Blanco de Madera Tequila (750mL/item) - $51.00 3</t>
        </is>
      </c>
      <c r="E182" s="52" t="n">
        <v>750</v>
      </c>
      <c r="F182" s="51">
        <f>TRIM(MID(D182, FIND("$", D182), FIND(" ", D182, FIND("$", D182)) - FIND("$", D182))
)</f>
        <v/>
      </c>
      <c r="G182" s="53" t="n">
        <v>29.57</v>
      </c>
      <c r="H182" s="54">
        <f>SUM(E182/G182)</f>
        <v/>
      </c>
      <c r="I182" s="104">
        <f>SUM(F182/H182)</f>
        <v/>
      </c>
      <c r="J182" s="105">
        <f>SUM(4*I182)</f>
        <v/>
      </c>
      <c r="K182" s="100">
        <f>SUM(I182*1.5)</f>
        <v/>
      </c>
      <c r="L182" s="101">
        <f>SUM(K182*4)</f>
        <v/>
      </c>
      <c r="M182" s="102">
        <f>SUM(I182*2)</f>
        <v/>
      </c>
      <c r="N182" s="103">
        <f>SUM(M182*4)</f>
        <v/>
      </c>
    </row>
    <row r="183" ht="15.75" customHeight="1">
      <c r="A183" s="35" t="n">
        <v>64</v>
      </c>
      <c r="B183" s="49">
        <f>IF(OR(ISNUMBER(SEARCH("Tequila", C183)), ISNUMBER(SEARCH("Tequila", D183))), "Tequila",
IF(OR(ISNUMBER(SEARCH("Rum", C183)), ISNUMBER(SEARCH("Rum", D183))), "Rum",
IF(OR(ISNUMBER(SEARCH("Whiskey", C183)), ISNUMBER(SEARCH("Whiskey", D183))), "Whiskey",
IF(OR(ISNUMBER(SEARCH("Gin", C183)), ISNUMBER(SEARCH("Gin", D183))), "Gin",
IF(OR(ISNUMBER(SEARCH("Liqueur", C183)), ISNUMBER(SEARCH("Liqueur", D183))), "Liqueur", "")))))</f>
        <v/>
      </c>
      <c r="C183" s="58" t="n"/>
      <c r="D183" s="51" t="inlineStr">
        <is>
          <t>G4 Blanco Tequila (750mL/item) - $40.95 2</t>
        </is>
      </c>
      <c r="E183" s="52" t="n">
        <v>750</v>
      </c>
      <c r="F183" s="51">
        <f>TRIM(MID(D183, FIND("$", D183), FIND(" ", D183, FIND("$", D183)) - FIND("$", D183))
)</f>
        <v/>
      </c>
      <c r="G183" s="53" t="n">
        <v>29.57</v>
      </c>
      <c r="H183" s="54">
        <f>SUM(E183/G183)</f>
        <v/>
      </c>
      <c r="I183" s="104">
        <f>SUM(F183/H183)</f>
        <v/>
      </c>
      <c r="J183" s="105">
        <f>SUM(4*I183)</f>
        <v/>
      </c>
      <c r="K183" s="100">
        <f>SUM(I183*1.5)</f>
        <v/>
      </c>
      <c r="L183" s="101">
        <f>SUM(K183*4)</f>
        <v/>
      </c>
      <c r="M183" s="102">
        <f>SUM(I183*2)</f>
        <v/>
      </c>
      <c r="N183" s="103">
        <f>SUM(M183*4)</f>
        <v/>
      </c>
    </row>
    <row r="184" ht="15.75" customHeight="1">
      <c r="A184" s="35" t="n">
        <v>237</v>
      </c>
      <c r="B184" s="49">
        <f>IF(OR(ISNUMBER(SEARCH("Tequila", C184)), ISNUMBER(SEARCH("Tequila", D184))), "Tequila",
IF(OR(ISNUMBER(SEARCH("Rum", C184)), ISNUMBER(SEARCH("Rum", D184))), "Rum",
IF(OR(ISNUMBER(SEARCH("Whiskey", C184)), ISNUMBER(SEARCH("Whiskey", D184))), "Whiskey",
IF(OR(ISNUMBER(SEARCH("Gin", C184)), ISNUMBER(SEARCH("Gin", D184))), "Gin",
IF(OR(ISNUMBER(SEARCH("Liqueur", C184)), ISNUMBER(SEARCH("Liqueur", D184))), "Liqueur", "")))))</f>
        <v/>
      </c>
      <c r="C184" s="57" t="n"/>
      <c r="D184" s="51" t="inlineStr">
        <is>
          <t>G4 Dia de los Muertos Madiera Reposado Tequila (750mL/item) - [Price Missing] 4</t>
        </is>
      </c>
      <c r="E184" s="52" t="n">
        <v>750</v>
      </c>
      <c r="F184" s="51">
        <f>TRIM(MID(D184, FIND("$", D184), FIND(" ", D184, FIND("$", D184)) - FIND("$", D184))
)</f>
        <v/>
      </c>
      <c r="G184" s="53" t="n">
        <v>29.57</v>
      </c>
      <c r="H184" s="54">
        <f>SUM(E184/G184)</f>
        <v/>
      </c>
      <c r="I184" s="104">
        <f>SUM(F184/H184)</f>
        <v/>
      </c>
      <c r="J184" s="105">
        <f>SUM(4*I184)</f>
        <v/>
      </c>
      <c r="K184" s="100">
        <f>SUM(I184*1.5)</f>
        <v/>
      </c>
      <c r="L184" s="101">
        <f>SUM(K184*4)</f>
        <v/>
      </c>
      <c r="M184" s="102">
        <f>SUM(I184*2)</f>
        <v/>
      </c>
      <c r="N184" s="103">
        <f>SUM(M184*4)</f>
        <v/>
      </c>
    </row>
    <row r="185" ht="15.75" customHeight="1">
      <c r="A185" s="35" t="n">
        <v>62</v>
      </c>
      <c r="B185" s="49">
        <f>IF(OR(ISNUMBER(SEARCH("Tequila", C185)), ISNUMBER(SEARCH("Tequila", D185))), "Tequila",
IF(OR(ISNUMBER(SEARCH("Rum", C185)), ISNUMBER(SEARCH("Rum", D185))), "Rum",
IF(OR(ISNUMBER(SEARCH("Whiskey", C185)), ISNUMBER(SEARCH("Whiskey", D185))), "Whiskey",
IF(OR(ISNUMBER(SEARCH("Gin", C185)), ISNUMBER(SEARCH("Gin", D185))), "Gin",
IF(OR(ISNUMBER(SEARCH("Liqueur", C185)), ISNUMBER(SEARCH("Liqueur", D185))), "Liqueur", "")))))</f>
        <v/>
      </c>
      <c r="C185" s="58" t="n"/>
      <c r="D185" s="51" t="inlineStr">
        <is>
          <t>G4 High Proof Blanco Tequila (750mL/item) - $44.10 1</t>
        </is>
      </c>
      <c r="E185" s="52" t="n">
        <v>750</v>
      </c>
      <c r="F185" s="51">
        <f>TRIM(MID(D185, FIND("$", D185), FIND(" ", D185, FIND("$", D185)) - FIND("$", D185))
)</f>
        <v/>
      </c>
      <c r="G185" s="53" t="n">
        <v>29.57</v>
      </c>
      <c r="H185" s="54">
        <f>SUM(E185/G185)</f>
        <v/>
      </c>
      <c r="I185" s="104">
        <f>SUM(F185/H185)</f>
        <v/>
      </c>
      <c r="J185" s="105">
        <f>SUM(4*I185)</f>
        <v/>
      </c>
      <c r="K185" s="100">
        <f>SUM(I185*1.5)</f>
        <v/>
      </c>
      <c r="L185" s="101">
        <f>SUM(K185*4)</f>
        <v/>
      </c>
      <c r="M185" s="102">
        <f>SUM(I185*2)</f>
        <v/>
      </c>
      <c r="N185" s="103">
        <f>SUM(M185*4)</f>
        <v/>
      </c>
    </row>
    <row r="186" ht="15.75" customHeight="1">
      <c r="A186" s="35" t="n">
        <v>63</v>
      </c>
      <c r="B186" s="49">
        <f>IF(OR(ISNUMBER(SEARCH("Tequila", C186)), ISNUMBER(SEARCH("Tequila", D186))), "Tequila",
IF(OR(ISNUMBER(SEARCH("Rum", C186)), ISNUMBER(SEARCH("Rum", D186))), "Rum",
IF(OR(ISNUMBER(SEARCH("Whiskey", C186)), ISNUMBER(SEARCH("Whiskey", D186))), "Whiskey",
IF(OR(ISNUMBER(SEARCH("Gin", C186)), ISNUMBER(SEARCH("Gin", D186))), "Gin",
IF(OR(ISNUMBER(SEARCH("Liqueur", C186)), ISNUMBER(SEARCH("Liqueur", D186))), "Liqueur", "")))))</f>
        <v/>
      </c>
      <c r="C186" s="57" t="n"/>
      <c r="D186" s="51" t="inlineStr">
        <is>
          <t>G4 Reposado Tequila (750mL/item) - $46.20 2</t>
        </is>
      </c>
      <c r="E186" s="52" t="n">
        <v>750</v>
      </c>
      <c r="F186" s="51">
        <f>TRIM(MID(D186, FIND("$", D186), FIND(" ", D186, FIND("$", D186)) - FIND("$", D186))
)</f>
        <v/>
      </c>
      <c r="G186" s="53" t="n">
        <v>29.57</v>
      </c>
      <c r="H186" s="54">
        <f>SUM(E186/G186)</f>
        <v/>
      </c>
      <c r="I186" s="104">
        <f>SUM(F186/H186)</f>
        <v/>
      </c>
      <c r="J186" s="105">
        <f>SUM(4*I186)</f>
        <v/>
      </c>
      <c r="K186" s="100">
        <f>SUM(I186*1.5)</f>
        <v/>
      </c>
      <c r="L186" s="101">
        <f>SUM(K186*4)</f>
        <v/>
      </c>
      <c r="M186" s="102">
        <f>SUM(I186*2)</f>
        <v/>
      </c>
      <c r="N186" s="103">
        <f>SUM(M186*4)</f>
        <v/>
      </c>
    </row>
    <row r="187" ht="15.75" customHeight="1">
      <c r="A187" s="35" t="n">
        <v>266</v>
      </c>
      <c r="B187" s="49">
        <f>IF(OR(ISNUMBER(SEARCH("Tequila", C187)), ISNUMBER(SEARCH("Tequila", D187))), "Tequila",
IF(OR(ISNUMBER(SEARCH("Rum", C187)), ISNUMBER(SEARCH("Rum", D187))), "Rum",
IF(OR(ISNUMBER(SEARCH("Whiskey", C187)), ISNUMBER(SEARCH("Whiskey", D187))), "Whiskey",
IF(OR(ISNUMBER(SEARCH("Gin", C187)), ISNUMBER(SEARCH("Gin", D187))), "Gin",
IF(OR(ISNUMBER(SEARCH("Liqueur", C187)), ISNUMBER(SEARCH("Liqueur", D187))), "Liqueur", "")))))</f>
        <v/>
      </c>
      <c r="C187" s="52" t="n"/>
      <c r="D187" s="51" t="n"/>
      <c r="E187" s="52" t="n"/>
      <c r="F187" s="51" t="n"/>
      <c r="G187" s="53" t="n"/>
      <c r="H187" s="54" t="n"/>
      <c r="I187" s="104" t="n"/>
      <c r="J187" s="105" t="n"/>
      <c r="K187" s="100" t="n"/>
      <c r="L187" s="101" t="n"/>
      <c r="M187" s="102" t="n"/>
      <c r="N187" s="103" t="n"/>
    </row>
    <row r="188" ht="15.75" customHeight="1">
      <c r="A188" s="35" t="n">
        <v>248</v>
      </c>
      <c r="B188" s="49">
        <f>IF(OR(ISNUMBER(SEARCH("Tequila", C188)), ISNUMBER(SEARCH("Tequila", D188))), "Tequila",
IF(OR(ISNUMBER(SEARCH("Rum", C188)), ISNUMBER(SEARCH("Rum", D188))), "Rum",
IF(OR(ISNUMBER(SEARCH("Whiskey", C188)), ISNUMBER(SEARCH("Whiskey", D188))), "Whiskey",
IF(OR(ISNUMBER(SEARCH("Gin", C188)), ISNUMBER(SEARCH("Gin", D188))), "Gin",
IF(OR(ISNUMBER(SEARCH("Liqueur", C188)), ISNUMBER(SEARCH("Liqueur", D188))), "Liqueur", "")))))</f>
        <v/>
      </c>
      <c r="C188" s="52" t="n"/>
      <c r="D188" s="51" t="n"/>
      <c r="E188" s="52" t="n"/>
      <c r="F188" s="51" t="n"/>
      <c r="G188" s="53" t="n"/>
      <c r="H188" s="54" t="n"/>
      <c r="I188" s="104" t="n"/>
      <c r="J188" s="105" t="n"/>
      <c r="K188" s="100" t="n"/>
      <c r="L188" s="101" t="n"/>
      <c r="M188" s="102" t="n"/>
      <c r="N188" s="103" t="n"/>
    </row>
    <row r="189" ht="15.75" customHeight="1">
      <c r="A189" s="35" t="n">
        <v>129</v>
      </c>
      <c r="B189" s="49">
        <f>IF(OR(ISNUMBER(SEARCH("Tequila", C189)), ISNUMBER(SEARCH("Tequila", D189))), "Tequila",
IF(OR(ISNUMBER(SEARCH("Rum", C189)), ISNUMBER(SEARCH("Rum", D189))), "Rum",
IF(OR(ISNUMBER(SEARCH("Whiskey", C189)), ISNUMBER(SEARCH("Whiskey", D189))), "Whiskey",
IF(OR(ISNUMBER(SEARCH("Gin", C189)), ISNUMBER(SEARCH("Gin", D189))), "Gin",
IF(OR(ISNUMBER(SEARCH("Liqueur", C189)), ISNUMBER(SEARCH("Liqueur", D189))), "Liqueur", "")))))</f>
        <v/>
      </c>
      <c r="C189" s="52" t="n"/>
      <c r="D189" s="51" t="inlineStr">
        <is>
          <t>Gran Centenario Anejo Tequila (750mL/item) - $37.76 2</t>
        </is>
      </c>
      <c r="E189" s="52" t="n">
        <v>750</v>
      </c>
      <c r="F189" s="51">
        <f>TRIM(MID(D189, FIND("$", D189), FIND(" ", D189, FIND("$", D189)) - FIND("$", D189))
)</f>
        <v/>
      </c>
      <c r="G189" s="53" t="n">
        <v>29.57</v>
      </c>
      <c r="H189" s="54">
        <f>SUM(E189/G189)</f>
        <v/>
      </c>
      <c r="I189" s="104">
        <f>SUM(F189/H189)</f>
        <v/>
      </c>
      <c r="J189" s="105">
        <f>SUM(4*I189)</f>
        <v/>
      </c>
      <c r="K189" s="100">
        <f>SUM(I189*1.5)</f>
        <v/>
      </c>
      <c r="L189" s="101">
        <f>SUM(K189*4)</f>
        <v/>
      </c>
      <c r="M189" s="102">
        <f>SUM(I189*2)</f>
        <v/>
      </c>
      <c r="N189" s="103">
        <f>SUM(M189*4)</f>
        <v/>
      </c>
    </row>
    <row r="190" ht="15.75" customHeight="1">
      <c r="A190" s="35" t="n">
        <v>130</v>
      </c>
      <c r="B190" s="49">
        <f>IF(OR(ISNUMBER(SEARCH("Tequila", C190)), ISNUMBER(SEARCH("Tequila", D190))), "Tequila",
IF(OR(ISNUMBER(SEARCH("Rum", C190)), ISNUMBER(SEARCH("Rum", D190))), "Rum",
IF(OR(ISNUMBER(SEARCH("Whiskey", C190)), ISNUMBER(SEARCH("Whiskey", D190))), "Whiskey",
IF(OR(ISNUMBER(SEARCH("Gin", C190)), ISNUMBER(SEARCH("Gin", D190))), "Gin",
IF(OR(ISNUMBER(SEARCH("Liqueur", C190)), ISNUMBER(SEARCH("Liqueur", D190))), "Liqueur", "")))))</f>
        <v/>
      </c>
      <c r="C190" s="52" t="n"/>
      <c r="D190" s="51" t="inlineStr">
        <is>
          <t>Gran Centenario Cristalino Anejo Tequila (750mL/item) - $68.00 1</t>
        </is>
      </c>
      <c r="E190" s="52" t="n">
        <v>750</v>
      </c>
      <c r="F190" s="51">
        <f>TRIM(MID(D190, FIND("$", D190), FIND(" ", D190, FIND("$", D190)) - FIND("$", D190))
)</f>
        <v/>
      </c>
      <c r="G190" s="53" t="n">
        <v>29.57</v>
      </c>
      <c r="H190" s="54">
        <f>SUM(E190/G190)</f>
        <v/>
      </c>
      <c r="I190" s="104">
        <f>SUM(F190/H190)</f>
        <v/>
      </c>
      <c r="J190" s="105">
        <f>SUM(4*I190)</f>
        <v/>
      </c>
      <c r="K190" s="100">
        <f>SUM(I190*1.5)</f>
        <v/>
      </c>
      <c r="L190" s="101">
        <f>SUM(K190*4)</f>
        <v/>
      </c>
      <c r="M190" s="102">
        <f>SUM(I190*2)</f>
        <v/>
      </c>
      <c r="N190" s="103">
        <f>SUM(M190*4)</f>
        <v/>
      </c>
    </row>
    <row r="191" ht="15.75" customHeight="1">
      <c r="A191" s="35" t="n">
        <v>131</v>
      </c>
      <c r="B191" s="49">
        <f>IF(OR(ISNUMBER(SEARCH("Tequila", C191)), ISNUMBER(SEARCH("Tequila", D191))), "Tequila",
IF(OR(ISNUMBER(SEARCH("Rum", C191)), ISNUMBER(SEARCH("Rum", D191))), "Rum",
IF(OR(ISNUMBER(SEARCH("Whiskey", C191)), ISNUMBER(SEARCH("Whiskey", D191))), "Whiskey",
IF(OR(ISNUMBER(SEARCH("Gin", C191)), ISNUMBER(SEARCH("Gin", D191))), "Gin",
IF(OR(ISNUMBER(SEARCH("Liqueur", C191)), ISNUMBER(SEARCH("Liqueur", D191))), "Liqueur", "")))))</f>
        <v/>
      </c>
      <c r="C191" s="50" t="n"/>
      <c r="D191" s="51" t="inlineStr">
        <is>
          <t>Gran Centenario Leyenda Extra Anejo Tequila (750mL/item) - $125.19 1</t>
        </is>
      </c>
      <c r="E191" s="52" t="n">
        <v>750</v>
      </c>
      <c r="F191" s="51">
        <f>TRIM(MID(D191, FIND("$", D191), FIND(" ", D191, FIND("$", D191)) - FIND("$", D191))
)</f>
        <v/>
      </c>
      <c r="G191" s="53" t="n">
        <v>29.57</v>
      </c>
      <c r="H191" s="54">
        <f>SUM(E191/G191)</f>
        <v/>
      </c>
      <c r="I191" s="104">
        <f>SUM(F191/H191)</f>
        <v/>
      </c>
      <c r="J191" s="105">
        <f>SUM(4*I191)</f>
        <v/>
      </c>
      <c r="K191" s="100">
        <f>SUM(I191*1.5)</f>
        <v/>
      </c>
      <c r="L191" s="101">
        <f>SUM(K191*4)</f>
        <v/>
      </c>
      <c r="M191" s="102">
        <f>SUM(I191*2)</f>
        <v/>
      </c>
      <c r="N191" s="103">
        <f>SUM(M191*4)</f>
        <v/>
      </c>
    </row>
    <row r="192" ht="15.75" customHeight="1">
      <c r="A192" s="35" t="n">
        <v>132</v>
      </c>
      <c r="B192" s="49">
        <f>IF(OR(ISNUMBER(SEARCH("Tequila", C192)), ISNUMBER(SEARCH("Tequila", D192))), "Tequila",
IF(OR(ISNUMBER(SEARCH("Rum", C192)), ISNUMBER(SEARCH("Rum", D192))), "Rum",
IF(OR(ISNUMBER(SEARCH("Whiskey", C192)), ISNUMBER(SEARCH("Whiskey", D192))), "Whiskey",
IF(OR(ISNUMBER(SEARCH("Gin", C192)), ISNUMBER(SEARCH("Gin", D192))), "Gin",
IF(OR(ISNUMBER(SEARCH("Liqueur", C192)), ISNUMBER(SEARCH("Liqueur", D192))), "Liqueur", "")))))</f>
        <v/>
      </c>
      <c r="C192" s="58" t="n"/>
      <c r="D192" s="51" t="inlineStr">
        <is>
          <t>Gran Centenario Plata Tequila (750mL/item) - $29.59 2</t>
        </is>
      </c>
      <c r="E192" s="52" t="n">
        <v>750</v>
      </c>
      <c r="F192" s="51">
        <f>TRIM(MID(D192, FIND("$", D192), FIND(" ", D192, FIND("$", D192)) - FIND("$", D192))
)</f>
        <v/>
      </c>
      <c r="G192" s="53" t="n">
        <v>29.57</v>
      </c>
      <c r="H192" s="54">
        <f>SUM(E192/G192)</f>
        <v/>
      </c>
      <c r="I192" s="104">
        <f>SUM(F192/H192)</f>
        <v/>
      </c>
      <c r="J192" s="105">
        <f>SUM(4*I192)</f>
        <v/>
      </c>
      <c r="K192" s="100">
        <f>SUM(I192*1.5)</f>
        <v/>
      </c>
      <c r="L192" s="101">
        <f>SUM(K192*4)</f>
        <v/>
      </c>
      <c r="M192" s="102">
        <f>SUM(I192*2)</f>
        <v/>
      </c>
      <c r="N192" s="103">
        <f>SUM(M192*4)</f>
        <v/>
      </c>
    </row>
    <row r="193" ht="15.75" customHeight="1">
      <c r="A193" s="35" t="n">
        <v>133</v>
      </c>
      <c r="B193" s="49">
        <f>IF(OR(ISNUMBER(SEARCH("Tequila", C193)), ISNUMBER(SEARCH("Tequila", D193))), "Tequila",
IF(OR(ISNUMBER(SEARCH("Rum", C193)), ISNUMBER(SEARCH("Rum", D193))), "Rum",
IF(OR(ISNUMBER(SEARCH("Whiskey", C193)), ISNUMBER(SEARCH("Whiskey", D193))), "Whiskey",
IF(OR(ISNUMBER(SEARCH("Gin", C193)), ISNUMBER(SEARCH("Gin", D193))), "Gin",
IF(OR(ISNUMBER(SEARCH("Liqueur", C193)), ISNUMBER(SEARCH("Liqueur", D193))), "Liqueur", "")))))</f>
        <v/>
      </c>
      <c r="C193" s="57" t="n"/>
      <c r="D193" s="51" t="inlineStr">
        <is>
          <t>Gran Centenario Reposado Tequila (750mL/item) - $30.41 2</t>
        </is>
      </c>
      <c r="E193" s="52" t="n">
        <v>750</v>
      </c>
      <c r="F193" s="51">
        <f>TRIM(MID(D193, FIND("$", D193), FIND(" ", D193, FIND("$", D193)) - FIND("$", D193))
)</f>
        <v/>
      </c>
      <c r="G193" s="53" t="n">
        <v>29.57</v>
      </c>
      <c r="H193" s="54">
        <f>SUM(E193/G193)</f>
        <v/>
      </c>
      <c r="I193" s="104">
        <f>SUM(F193/H193)</f>
        <v/>
      </c>
      <c r="J193" s="105">
        <f>SUM(4*I193)</f>
        <v/>
      </c>
      <c r="K193" s="100">
        <f>SUM(I193*1.5)</f>
        <v/>
      </c>
      <c r="L193" s="101">
        <f>SUM(K193*4)</f>
        <v/>
      </c>
      <c r="M193" s="102">
        <f>SUM(I193*2)</f>
        <v/>
      </c>
      <c r="N193" s="103">
        <f>SUM(M193*4)</f>
        <v/>
      </c>
    </row>
    <row r="194" ht="15.75" customHeight="1">
      <c r="A194" s="35" t="n">
        <v>227</v>
      </c>
      <c r="B194" s="49">
        <f>IF(OR(ISNUMBER(SEARCH("Tequila", C194)), ISNUMBER(SEARCH("Tequila", D194))), "Tequila",
IF(OR(ISNUMBER(SEARCH("Rum", C194)), ISNUMBER(SEARCH("Rum", D194))), "Rum",
IF(OR(ISNUMBER(SEARCH("Whiskey", C194)), ISNUMBER(SEARCH("Whiskey", D194))), "Whiskey",
IF(OR(ISNUMBER(SEARCH("Gin", C194)), ISNUMBER(SEARCH("Gin", D194))), "Gin",
IF(OR(ISNUMBER(SEARCH("Liqueur", C194)), ISNUMBER(SEARCH("Liqueur", D194))), "Liqueur", "")))))</f>
        <v/>
      </c>
      <c r="C194" s="58" t="n"/>
      <c r="D194" s="51" t="inlineStr">
        <is>
          <t>Gran Dovejo High Proof Blanco Tequila (750mL/item) - $33.60 2</t>
        </is>
      </c>
      <c r="E194" s="52" t="n">
        <v>750</v>
      </c>
      <c r="F194" s="51">
        <f>TRIM(MID(D194, FIND("$", D194), FIND(" ", D194, FIND("$", D194)) - FIND("$", D194))
)</f>
        <v/>
      </c>
      <c r="G194" s="53" t="n">
        <v>29.57</v>
      </c>
      <c r="H194" s="54">
        <f>SUM(E194/G194)</f>
        <v/>
      </c>
      <c r="I194" s="104">
        <f>SUM(F194/H194)</f>
        <v/>
      </c>
      <c r="J194" s="105">
        <f>SUM(4*I194)</f>
        <v/>
      </c>
      <c r="K194" s="100">
        <f>SUM(I194*1.5)</f>
        <v/>
      </c>
      <c r="L194" s="101">
        <f>SUM(K194*4)</f>
        <v/>
      </c>
      <c r="M194" s="102">
        <f>SUM(I194*2)</f>
        <v/>
      </c>
      <c r="N194" s="103">
        <f>SUM(M194*4)</f>
        <v/>
      </c>
    </row>
    <row r="195" ht="15.75" customHeight="1">
      <c r="A195" s="35" t="n">
        <v>228</v>
      </c>
      <c r="B195" s="49">
        <f>IF(OR(ISNUMBER(SEARCH("Tequila", C195)), ISNUMBER(SEARCH("Tequila", D195))), "Tequila",
IF(OR(ISNUMBER(SEARCH("Rum", C195)), ISNUMBER(SEARCH("Rum", D195))), "Rum",
IF(OR(ISNUMBER(SEARCH("Whiskey", C195)), ISNUMBER(SEARCH("Whiskey", D195))), "Whiskey",
IF(OR(ISNUMBER(SEARCH("Gin", C195)), ISNUMBER(SEARCH("Gin", D195))), "Gin",
IF(OR(ISNUMBER(SEARCH("Liqueur", C195)), ISNUMBER(SEARCH("Liqueur", D195))), "Liqueur", "")))))</f>
        <v/>
      </c>
      <c r="C195" s="57" t="n"/>
      <c r="D195" s="51" t="inlineStr">
        <is>
          <t>Gran Dovejo Reposado Tequila (750mL/item) - $38.85 2</t>
        </is>
      </c>
      <c r="E195" s="52" t="n">
        <v>750</v>
      </c>
      <c r="F195" s="51">
        <f>TRIM(MID(D195, FIND("$", D195), FIND(" ", D195, FIND("$", D195)) - FIND("$", D195))
)</f>
        <v/>
      </c>
      <c r="G195" s="53" t="n">
        <v>29.57</v>
      </c>
      <c r="H195" s="54">
        <f>SUM(E195/G195)</f>
        <v/>
      </c>
      <c r="I195" s="104">
        <f>SUM(F195/H195)</f>
        <v/>
      </c>
      <c r="J195" s="105">
        <f>SUM(4*I195)</f>
        <v/>
      </c>
      <c r="K195" s="100">
        <f>SUM(I195*1.5)</f>
        <v/>
      </c>
      <c r="L195" s="101">
        <f>SUM(K195*4)</f>
        <v/>
      </c>
      <c r="M195" s="102">
        <f>SUM(I195*2)</f>
        <v/>
      </c>
      <c r="N195" s="103">
        <f>SUM(M195*4)</f>
        <v/>
      </c>
    </row>
    <row r="196" ht="15.75" customHeight="1">
      <c r="A196" s="35" t="n">
        <v>206</v>
      </c>
      <c r="B196" s="49">
        <f>IF(OR(ISNUMBER(SEARCH("Tequila", C196)), ISNUMBER(SEARCH("Tequila", D196))), "Tequila",
 IF(OR(ISNUMBER(SEARCH("Rum", C196)), ISNUMBER(SEARCH("Rum", D196))), "Rum",
 IF(OR(ISNUMBER(SEARCH("Whiskey", C196)), ISNUMBER(SEARCH("Whiskey", D196))), "Whiskey",
 IF(OR(ISNUMBER(SEARCH("Gin", C196)), ISNUMBER(SEARCH("Gin", D196))), "Gin",
 IF(OR(ISNUMBER(SEARCH("Liqueur", C196)), ISNUMBER(SEARCH("Liqueur", D196))), "Liqueur", "")))))</f>
        <v/>
      </c>
      <c r="C196" s="57" t="n"/>
      <c r="D196" s="51" t="inlineStr">
        <is>
          <t>Grand Love Ceramic Heart Reposado Tequila (750mL/item) - $81.70 1</t>
        </is>
      </c>
      <c r="E196" s="52" t="n">
        <v>750</v>
      </c>
      <c r="F196" s="51">
        <f>TRIM(MID(D196, FIND("$", D196), FIND(" ", D196, FIND("$", D196)) - FIND("$", D196))
)</f>
        <v/>
      </c>
      <c r="G196" s="53" t="n">
        <v>29.57</v>
      </c>
      <c r="H196" s="54">
        <f>SUM(E196/G196)</f>
        <v/>
      </c>
      <c r="I196" s="104">
        <f>SUM(F196/H196)</f>
        <v/>
      </c>
      <c r="J196" s="105">
        <f>SUM(4*I196)</f>
        <v/>
      </c>
      <c r="K196" s="100">
        <f>SUM(I196*1.5)</f>
        <v/>
      </c>
      <c r="L196" s="101">
        <f>SUM(K196*4)</f>
        <v/>
      </c>
      <c r="M196" s="102">
        <f>SUM(I196*2)</f>
        <v/>
      </c>
      <c r="N196" s="103">
        <f>SUM(M196*4)</f>
        <v/>
      </c>
    </row>
    <row r="197" ht="15.75" customHeight="1">
      <c r="A197" s="35" t="n">
        <v>207</v>
      </c>
      <c r="B197" s="49">
        <f>IF(OR(ISNUMBER(SEARCH("Tequila", C197)), ISNUMBER(SEARCH("Tequila", D197))), "Tequila",
IF(OR(ISNUMBER(SEARCH("Rum", C197)), ISNUMBER(SEARCH("Rum", D197))), "Rum",
IF(OR(ISNUMBER(SEARCH("Whiskey", C197)), ISNUMBER(SEARCH("Whiskey", D197))), "Whiskey",
IF(OR(ISNUMBER(SEARCH("Gin", C197)), ISNUMBER(SEARCH("Gin", D197))), "Gin",
IF(OR(ISNUMBER(SEARCH("Liqueur", C197)), ISNUMBER(SEARCH("Liqueur", D197))), "Liqueur", "")))))</f>
        <v/>
      </c>
      <c r="C197" s="57" t="n"/>
      <c r="D197" s="51" t="inlineStr">
        <is>
          <t>Grand Love Red Heart Reposado Tequila (750mL/item) - $73.53 1</t>
        </is>
      </c>
      <c r="E197" s="52" t="n">
        <v>750</v>
      </c>
      <c r="F197" s="51">
        <f>TRIM(MID(D197, FIND("$", D197), FIND(" ", D197, FIND("$", D197)) - FIND("$", D197))
)</f>
        <v/>
      </c>
      <c r="G197" s="53" t="n">
        <v>29.57</v>
      </c>
      <c r="H197" s="54">
        <f>SUM(E197/G197)</f>
        <v/>
      </c>
      <c r="I197" s="104">
        <f>SUM(F197/H197)</f>
        <v/>
      </c>
      <c r="J197" s="105">
        <f>SUM(4*I197)</f>
        <v/>
      </c>
      <c r="K197" s="100">
        <f>SUM(I197*1.5)</f>
        <v/>
      </c>
      <c r="L197" s="101">
        <f>SUM(K197*4)</f>
        <v/>
      </c>
      <c r="M197" s="102">
        <f>SUM(I197*2)</f>
        <v/>
      </c>
      <c r="N197" s="103">
        <f>SUM(M197*4)</f>
        <v/>
      </c>
    </row>
    <row r="198" ht="15.75" customHeight="1">
      <c r="A198" s="35" t="n">
        <v>208</v>
      </c>
      <c r="B198" s="49">
        <f>IF(OR(ISNUMBER(SEARCH("Tequila", C198)), ISNUMBER(SEARCH("Tequila", D198))), "Tequila",
IF(OR(ISNUMBER(SEARCH("Rum", C198)), ISNUMBER(SEARCH("Rum", D198))), "Rum",
IF(OR(ISNUMBER(SEARCH("Whiskey", C198)), ISNUMBER(SEARCH("Whiskey", D198))), "Whiskey",
IF(OR(ISNUMBER(SEARCH("Gin", C198)), ISNUMBER(SEARCH("Gin", D198))), "Gin",
IF(OR(ISNUMBER(SEARCH("Liqueur", C198)), ISNUMBER(SEARCH("Liqueur", D198))), "Liqueur", "")))))</f>
        <v/>
      </c>
      <c r="C198" s="57" t="n"/>
      <c r="D198" s="51" t="inlineStr">
        <is>
          <t>Grand Mayan Blanco Tequila (750mL/item) - $60.46 1</t>
        </is>
      </c>
      <c r="E198" s="52" t="n">
        <v>750</v>
      </c>
      <c r="F198" s="51">
        <f>TRIM(MID(D198, FIND("$", D198), FIND(" ", D198, FIND("$", D198)) - FIND("$", D198))
)</f>
        <v/>
      </c>
      <c r="G198" s="53" t="n">
        <v>29.57</v>
      </c>
      <c r="H198" s="54">
        <f>SUM(E198/G198)</f>
        <v/>
      </c>
      <c r="I198" s="104">
        <f>SUM(F198/H198)</f>
        <v/>
      </c>
      <c r="J198" s="105">
        <f>SUM(4*I198)</f>
        <v/>
      </c>
      <c r="K198" s="100">
        <f>SUM(I198*1.5)</f>
        <v/>
      </c>
      <c r="L198" s="101">
        <f>SUM(K198*4)</f>
        <v/>
      </c>
      <c r="M198" s="102">
        <f>SUM(I198*2)</f>
        <v/>
      </c>
      <c r="N198" s="103">
        <f>SUM(M198*4)</f>
        <v/>
      </c>
    </row>
    <row r="199" ht="15.75" customHeight="1">
      <c r="A199" s="35" t="n">
        <v>209</v>
      </c>
      <c r="B199" s="49">
        <f>IF(OR(ISNUMBER(SEARCH("Tequila", C199)), ISNUMBER(SEARCH("Tequila", D199))), "Tequila",
IF(OR(ISNUMBER(SEARCH("Rum", C199)), ISNUMBER(SEARCH("Rum", D199))), "Rum",
IF(OR(ISNUMBER(SEARCH("Whiskey", C199)), ISNUMBER(SEARCH("Whiskey", D199))), "Whiskey",
IF(OR(ISNUMBER(SEARCH("Gin", C199)), ISNUMBER(SEARCH("Gin", D199))), "Gin",
IF(OR(ISNUMBER(SEARCH("Liqueur", C199)), ISNUMBER(SEARCH("Liqueur", D199))), "Liqueur", "")))))</f>
        <v/>
      </c>
      <c r="C199" s="50" t="n"/>
      <c r="D199" s="51" t="inlineStr">
        <is>
          <t>Grand Mayan Limited Edition Ultra Anejo Tequila (750mL/item) - $187.93 1</t>
        </is>
      </c>
      <c r="E199" s="52" t="n">
        <v>750</v>
      </c>
      <c r="F199" s="51">
        <f>TRIM(MID(D199, FIND("$", D199), FIND(" ", D199, FIND("$", D199)) - FIND("$", D199))
)</f>
        <v/>
      </c>
      <c r="G199" s="53" t="n">
        <v>29.57</v>
      </c>
      <c r="H199" s="54">
        <f>SUM(E199/G199)</f>
        <v/>
      </c>
      <c r="I199" s="104">
        <f>SUM(F199/H199)</f>
        <v/>
      </c>
      <c r="J199" s="105">
        <f>SUM(4*I199)</f>
        <v/>
      </c>
      <c r="K199" s="100">
        <f>SUM(I199*1.5)</f>
        <v/>
      </c>
      <c r="L199" s="101">
        <f>SUM(K199*4)</f>
        <v/>
      </c>
      <c r="M199" s="102">
        <f>SUM(I199*2)</f>
        <v/>
      </c>
      <c r="N199" s="103">
        <f>SUM(M199*4)</f>
        <v/>
      </c>
    </row>
    <row r="200" ht="15.75" customHeight="1">
      <c r="A200" s="35" t="n">
        <v>210</v>
      </c>
      <c r="B200" s="49">
        <f>IF(OR(ISNUMBER(SEARCH("Tequila", C200)), ISNUMBER(SEARCH("Tequila", D200))), "Tequila",
IF(OR(ISNUMBER(SEARCH("Rum", C200)), ISNUMBER(SEARCH("Rum", D200))), "Rum",
IF(OR(ISNUMBER(SEARCH("Whiskey", C200)), ISNUMBER(SEARCH("Whiskey", D200))), "Whiskey",
IF(OR(ISNUMBER(SEARCH("Gin", C200)), ISNUMBER(SEARCH("Gin", D200))), "Gin",
IF(OR(ISNUMBER(SEARCH("Liqueur", C200)), ISNUMBER(SEARCH("Liqueur", D200))), "Liqueur", "")))))</f>
        <v/>
      </c>
      <c r="C200" s="57">
        <f>IF(OR(ISNUMBER(SEARCH("plata", D134)), ISNUMBER(SEARCH("blanco", D134)), ISNUMBER(SEARCH("silver", D134))), "Silver",
 IF(ISNUMBER(SEARCH("gold", D134)), "Gold",
 IF(ISNUMBER(SEARCH("reposado", D134)), "Reposado",
 IF(AND(ISNUMBER(SEARCH("anejo", D134)), NOT(ISNUMBER(SEARCH("extra anejo", D134)))), "Anejo",
 IF(ISNUMBER(SEARCH("extra anejo", D134)), "Extra Anejo", "")))))</f>
        <v/>
      </c>
      <c r="D200" s="51" t="inlineStr">
        <is>
          <t>Grand Mayan Reposado Tequila (750mL/ item) $73.53 1</t>
        </is>
      </c>
      <c r="E200" s="52" t="n">
        <v>750</v>
      </c>
      <c r="F200" s="51">
        <f>TRIM(MID(D200, FIND("$", D200), FIND(" ", D200, FIND("$", D200)) - FIND("$", D200))
)</f>
        <v/>
      </c>
      <c r="G200" s="53" t="n">
        <v>29.57</v>
      </c>
      <c r="H200" s="54">
        <f>SUM(E200/G200)</f>
        <v/>
      </c>
      <c r="I200" s="104">
        <f>SUM(F200/H200)</f>
        <v/>
      </c>
      <c r="J200" s="105">
        <f>SUM(4*I200)</f>
        <v/>
      </c>
      <c r="K200" s="100">
        <f>SUM(I200*1.5)</f>
        <v/>
      </c>
      <c r="L200" s="101">
        <f>SUM(K200*4)</f>
        <v/>
      </c>
      <c r="M200" s="102">
        <f>SUM(I200*2)</f>
        <v/>
      </c>
      <c r="N200" s="103">
        <f>SUM(M200*4)</f>
        <v/>
      </c>
    </row>
    <row r="201" ht="15.75" customHeight="1">
      <c r="A201" s="35" t="n">
        <v>324</v>
      </c>
      <c r="B201" s="49">
        <f>IF(OR(ISNUMBER(SEARCH("Tequila", C201)), ISNUMBER(SEARCH("Tequila", D201))), "Tequila",
IF(OR(ISNUMBER(SEARCH("Rum", C201)), ISNUMBER(SEARCH("Rum", D201))), "Rum",
IF(OR(ISNUMBER(SEARCH("Whiskey", C201)), ISNUMBER(SEARCH("Whiskey", D201))), "Whiskey",
IF(OR(ISNUMBER(SEARCH("Gin", C201)), ISNUMBER(SEARCH("Gin", D201))), "Gin",
IF(OR(ISNUMBER(SEARCH("Liqueur", C201)), ISNUMBER(SEARCH("Liqueur", D201))), "Liqueur", "")))))</f>
        <v/>
      </c>
      <c r="C201" s="52">
        <f>IF(OR(ISNUMBER(SEARCH("plata", D135)), ISNUMBER(SEARCH("blanco", D135)), ISNUMBER(SEARCH("silver", D135))), "Silver",
 IF(ISNUMBER(SEARCH("gold", D135)), "Gold",
 IF(ISNUMBER(SEARCH("reposado", D135)), "Reposado",
 IF(AND(ISNUMBER(SEARCH("anejo", D135)), NOT(ISNUMBER(SEARCH("extra anejo", D135)))), "Anejo",
 IF(ISNUMBER(SEARCH("extra anejo", D135)), "Extra Anejo", "")))))</f>
        <v/>
      </c>
      <c r="D201" s="51" t="inlineStr">
        <is>
          <t>Grey Goose Vodka *NFD (750mL/item) - $31.23 2</t>
        </is>
      </c>
      <c r="E201" s="52" t="n">
        <v>750</v>
      </c>
      <c r="F201" s="51">
        <f>TRIM(MID(D201, FIND("$", D201), FIND(" ", D201, FIND("$", D201)) - FIND("$", D201))
)</f>
        <v/>
      </c>
      <c r="G201" s="53" t="n">
        <v>29.57</v>
      </c>
      <c r="H201" s="54">
        <f>SUM(E201/G201)</f>
        <v/>
      </c>
      <c r="I201" s="104">
        <f>SUM(F201/H201)</f>
        <v/>
      </c>
      <c r="J201" s="105">
        <f>SUM(4*I201)</f>
        <v/>
      </c>
      <c r="K201" s="100">
        <f>SUM(I201*1.5)</f>
        <v/>
      </c>
      <c r="L201" s="101">
        <f>SUM(K201*4)</f>
        <v/>
      </c>
      <c r="M201" s="102">
        <f>SUM(I201*2)</f>
        <v/>
      </c>
      <c r="N201" s="103">
        <f>SUM(M201*4)</f>
        <v/>
      </c>
    </row>
    <row r="202" ht="15.75" customHeight="1">
      <c r="A202" s="35" t="n">
        <v>326</v>
      </c>
      <c r="B202" s="49">
        <f>IF(OR(ISNUMBER(SEARCH("Tequila", C202)), ISNUMBER(SEARCH("Tequila", D202))), "Tequila",
IF(OR(ISNUMBER(SEARCH("Rum", C202)), ISNUMBER(SEARCH("Rum", D202))), "Rum",
IF(OR(ISNUMBER(SEARCH("Whiskey", C202)), ISNUMBER(SEARCH("Whiskey", D202))), "Whiskey",
IF(OR(ISNUMBER(SEARCH("Gin", C202)), ISNUMBER(SEARCH("Gin", D202))), "Gin",
IF(OR(ISNUMBER(SEARCH("Liqueur", C202)), ISNUMBER(SEARCH("Liqueur", D202))), "Liqueur", "")))))</f>
        <v/>
      </c>
      <c r="C202" s="52" t="n"/>
      <c r="D202" s="51" t="inlineStr">
        <is>
          <t>Gunnar's Bradford Single Barrel Wheated Bourbon Whiskey (750ML/item) - $51.65 2</t>
        </is>
      </c>
      <c r="E202" s="52" t="n">
        <v>750</v>
      </c>
      <c r="F202" s="51">
        <f>TRIM(MID(D202, FIND("$", D202), FIND(" ", D202, FIND("$", D202)) - FIND("$", D202))
)</f>
        <v/>
      </c>
      <c r="G202" s="53" t="n">
        <v>29.57</v>
      </c>
      <c r="H202" s="54">
        <f>SUM(E202/G202)</f>
        <v/>
      </c>
      <c r="I202" s="104">
        <f>SUM(F202/H202)</f>
        <v/>
      </c>
      <c r="J202" s="105">
        <f>SUM(4*I202)</f>
        <v/>
      </c>
      <c r="K202" s="100">
        <f>SUM(I202*1.5)</f>
        <v/>
      </c>
      <c r="L202" s="101">
        <f>SUM(K202*4)</f>
        <v/>
      </c>
      <c r="M202" s="102">
        <f>SUM(I202*2)</f>
        <v/>
      </c>
      <c r="N202" s="103">
        <f>SUM(M202*4)</f>
        <v/>
      </c>
    </row>
    <row r="203" ht="15.75" customHeight="1">
      <c r="A203" s="35" t="n">
        <v>328</v>
      </c>
      <c r="B203" s="49">
        <f>IF(OR(ISNUMBER(SEARCH("Tequila", C203)), ISNUMBER(SEARCH("Tequila", D203))), "Tequila",
IF(OR(ISNUMBER(SEARCH("Rum", C203)), ISNUMBER(SEARCH("Rum", D203))), "Rum",
IF(OR(ISNUMBER(SEARCH("Whiskey", C203)), ISNUMBER(SEARCH("Whiskey", D203))), "Whiskey",
IF(OR(ISNUMBER(SEARCH("Gin", C203)), ISNUMBER(SEARCH("Gin", D203))), "Gin",
IF(OR(ISNUMBER(SEARCH("Liqueur", C203)), ISNUMBER(SEARCH("Liqueur", D203))), "Liqueur", "")))))</f>
        <v/>
      </c>
      <c r="C203" s="52" t="n"/>
      <c r="D203" s="51" t="inlineStr">
        <is>
          <t>Hendrick's Gin NFD** (750mL/item) - $28.60 2</t>
        </is>
      </c>
      <c r="E203" s="52" t="n">
        <v>750</v>
      </c>
      <c r="F203" s="51">
        <f>TRIM(MID(D203, FIND("$", D203), FIND(" ", D203, FIND("$", D203)) - FIND("$", D203))
)</f>
        <v/>
      </c>
      <c r="G203" s="53" t="n">
        <v>29.57</v>
      </c>
      <c r="H203" s="54">
        <f>SUM(E203/G203)</f>
        <v/>
      </c>
      <c r="I203" s="104">
        <f>SUM(F203/H203)</f>
        <v/>
      </c>
      <c r="J203" s="105">
        <f>SUM(4*I203)</f>
        <v/>
      </c>
      <c r="K203" s="100">
        <f>SUM(I203*1.5)</f>
        <v/>
      </c>
      <c r="L203" s="101">
        <f>SUM(K203*4)</f>
        <v/>
      </c>
      <c r="M203" s="102">
        <f>SUM(I203*2)</f>
        <v/>
      </c>
      <c r="N203" s="103">
        <f>SUM(M203*4)</f>
        <v/>
      </c>
    </row>
    <row r="204" ht="15.75" customHeight="1">
      <c r="A204" s="35" t="n">
        <v>339</v>
      </c>
      <c r="B204" s="49">
        <f>IF(OR(ISNUMBER(SEARCH("Tequila", C204)), ISNUMBER(SEARCH("Tequila", D204))), "Tequila",
IF(OR(ISNUMBER(SEARCH("Rum", C204)), ISNUMBER(SEARCH("Rum", D204))), "Rum",
IF(OR(ISNUMBER(SEARCH("Whiskey", C204)), ISNUMBER(SEARCH("Whiskey", D204))), "Whiskey",
IF(OR(ISNUMBER(SEARCH("Gin", C204)), ISNUMBER(SEARCH("Gin", D204))), "Gin",
IF(OR(ISNUMBER(SEARCH("Liqueur", C204)), ISNUMBER(SEARCH("Liqueur", D204))), "Liqueur", "")))))</f>
        <v/>
      </c>
      <c r="C204" s="52" t="n"/>
      <c r="D204" s="51" t="inlineStr">
        <is>
          <t>Hennessy VS Cognac (750mL/item) - $41.02 2</t>
        </is>
      </c>
      <c r="E204" s="52" t="n">
        <v>750</v>
      </c>
      <c r="F204" s="51">
        <f>TRIM(MID(D204, FIND("$", D204), FIND(" ", D204, FIND("$", D204)) - FIND("$", D204))
)</f>
        <v/>
      </c>
      <c r="G204" s="53" t="n">
        <v>29.57</v>
      </c>
      <c r="H204" s="54">
        <f>SUM(E204/G204)</f>
        <v/>
      </c>
      <c r="I204" s="104">
        <f>SUM(F204/H204)</f>
        <v/>
      </c>
      <c r="J204" s="105">
        <f>SUM(4*I204)</f>
        <v/>
      </c>
      <c r="K204" s="100">
        <f>SUM(I204*1.5)</f>
        <v/>
      </c>
      <c r="L204" s="101">
        <f>SUM(K204*4)</f>
        <v/>
      </c>
      <c r="M204" s="102">
        <f>SUM(I204*2)</f>
        <v/>
      </c>
      <c r="N204" s="103">
        <f>SUM(M204*4)</f>
        <v/>
      </c>
    </row>
    <row r="205" ht="15.75" customHeight="1">
      <c r="A205" s="59" t="n"/>
      <c r="B205" s="49">
        <f>IF(OR(ISNUMBER(SEARCH("Tequila", C205)), ISNUMBER(SEARCH("Tequila", D205))), "Tequila",
IF(OR(ISNUMBER(SEARCH("Rum", C205)), ISNUMBER(SEARCH("Rum", D205))), "Rum",
IF(OR(ISNUMBER(SEARCH("Whiskey", C205)), ISNUMBER(SEARCH("Whiskey", D205))), "Whiskey",
IF(OR(ISNUMBER(SEARCH("Gin", C205)), ISNUMBER(SEARCH("Gin", D205))), "Gin",
IF(OR(ISNUMBER(SEARCH("Liqueur", C205)), ISNUMBER(SEARCH("Liqueur", D205))), "Liqueur", "")))))</f>
        <v/>
      </c>
      <c r="C205" s="52" t="n"/>
      <c r="D205" s="60" t="inlineStr">
        <is>
          <t>Herencia Mexicana Anejo Tequila (750mL) $78.75 1</t>
        </is>
      </c>
      <c r="E205" s="52" t="n">
        <v>750</v>
      </c>
      <c r="F205" s="51">
        <f>TRIM(MID(D205, FIND("$", D205), FIND(" ", D205, FIND("$", D205)) - FIND("$", D205))
)</f>
        <v/>
      </c>
      <c r="G205" s="53" t="n">
        <v>29.57</v>
      </c>
      <c r="H205" s="54">
        <f>SUM(E205/G205)</f>
        <v/>
      </c>
      <c r="I205" s="104">
        <f>SUM(F205/H205)</f>
        <v/>
      </c>
      <c r="J205" s="105">
        <f>SUM(4*I205)</f>
        <v/>
      </c>
      <c r="K205" s="100">
        <f>SUM(I205*1.5)</f>
        <v/>
      </c>
      <c r="L205" s="101">
        <f>SUM(K205*4)</f>
        <v/>
      </c>
      <c r="M205" s="102">
        <f>SUM(I205*2)</f>
        <v/>
      </c>
      <c r="N205" s="103">
        <f>SUM(M205*4)</f>
        <v/>
      </c>
    </row>
    <row r="206" ht="15.75" customHeight="1">
      <c r="A206" s="59" t="n"/>
      <c r="B206" s="49">
        <f>IF(OR(ISNUMBER(SEARCH("Tequila", C206)), ISNUMBER(SEARCH("Tequila", D206))), "Tequila",
IF(OR(ISNUMBER(SEARCH("Rum", C206)), ISNUMBER(SEARCH("Rum", D206))), "Rum",
IF(OR(ISNUMBER(SEARCH("Whiskey", C206)), ISNUMBER(SEARCH("Whiskey", D206))), "Whiskey",
IF(OR(ISNUMBER(SEARCH("Gin", C206)), ISNUMBER(SEARCH("Gin", D206))), "Gin",
IF(OR(ISNUMBER(SEARCH("Liqueur", C206)), ISNUMBER(SEARCH("Liqueur", D206))), "Liqueur", "")))))</f>
        <v/>
      </c>
      <c r="C206" s="58" t="n"/>
      <c r="D206" s="60" t="inlineStr">
        <is>
          <t>Herencia Mexicana Blanco Tequila (750mL) $36.75 1</t>
        </is>
      </c>
      <c r="E206" s="52" t="n">
        <v>750</v>
      </c>
      <c r="F206" s="51">
        <f>TRIM(MID(D206, FIND("$", D206), FIND(" ", D206, FIND("$", D206)) - FIND("$", D206))
)</f>
        <v/>
      </c>
      <c r="G206" s="53" t="n">
        <v>29.57</v>
      </c>
      <c r="H206" s="54">
        <f>SUM(E206/G206)</f>
        <v/>
      </c>
      <c r="I206" s="104">
        <f>SUM(F206/H206)</f>
        <v/>
      </c>
      <c r="J206" s="105">
        <f>SUM(4*I206)</f>
        <v/>
      </c>
      <c r="K206" s="100">
        <f>SUM(I206*1.5)</f>
        <v/>
      </c>
      <c r="L206" s="101">
        <f>SUM(K206*4)</f>
        <v/>
      </c>
      <c r="M206" s="102">
        <f>SUM(I206*2)</f>
        <v/>
      </c>
      <c r="N206" s="103">
        <f>SUM(M206*4)</f>
        <v/>
      </c>
    </row>
    <row r="207" ht="15.75" customHeight="1">
      <c r="A207" s="59" t="n"/>
      <c r="B207" s="49">
        <f>IF(OR(ISNUMBER(SEARCH("Tequila", C207)), ISNUMBER(SEARCH("Tequila", D207))), "Tequila",
IF(OR(ISNUMBER(SEARCH("Rum", C207)), ISNUMBER(SEARCH("Rum", D207))), "Rum",
IF(OR(ISNUMBER(SEARCH("Whiskey", C207)), ISNUMBER(SEARCH("Whiskey", D207))), "Whiskey",
IF(OR(ISNUMBER(SEARCH("Gin", C207)), ISNUMBER(SEARCH("Gin", D207))), "Gin",
IF(OR(ISNUMBER(SEARCH("Liqueur", C207)), ISNUMBER(SEARCH("Liqueur", D207))), "Liqueur", "")))))</f>
        <v/>
      </c>
      <c r="C207" s="57" t="n"/>
      <c r="D207" s="60" t="inlineStr">
        <is>
          <t>Herencia Mexicana Reposado Tequila (750mL) $44.89 1</t>
        </is>
      </c>
      <c r="E207" s="52" t="n">
        <v>750</v>
      </c>
      <c r="F207" s="51">
        <f>TRIM(MID(D207, FIND("$", D207), FIND(" ", D207, FIND("$", D207)) - FIND("$", D207))
)</f>
        <v/>
      </c>
      <c r="G207" s="53" t="n">
        <v>29.57</v>
      </c>
      <c r="H207" s="54">
        <f>SUM(E207/G207)</f>
        <v/>
      </c>
      <c r="I207" s="104">
        <f>SUM(F207/H207)</f>
        <v/>
      </c>
      <c r="J207" s="105">
        <f>SUM(4*I207)</f>
        <v/>
      </c>
      <c r="K207" s="100">
        <f>SUM(I207*1.5)</f>
        <v/>
      </c>
      <c r="L207" s="101">
        <f>SUM(K207*4)</f>
        <v/>
      </c>
      <c r="M207" s="102">
        <f>SUM(I207*2)</f>
        <v/>
      </c>
      <c r="N207" s="103">
        <f>SUM(M207*4)</f>
        <v/>
      </c>
    </row>
    <row r="208" ht="15.75" customHeight="1">
      <c r="A208" s="35" t="n">
        <v>134</v>
      </c>
      <c r="B208" s="49">
        <f>IF(OR(ISNUMBER(SEARCH("Tequila", C208)), ISNUMBER(SEARCH("Tequila", D208))), "Tequila",
IF(OR(ISNUMBER(SEARCH("Rum", C208)), ISNUMBER(SEARCH("Rum", D208))), "Rum",
IF(OR(ISNUMBER(SEARCH("Whiskey", C208)), ISNUMBER(SEARCH("Whiskey", D208))), "Whiskey",
IF(OR(ISNUMBER(SEARCH("Gin", C208)), ISNUMBER(SEARCH("Gin", D208))), "Gin",
IF(OR(ISNUMBER(SEARCH("Liqueur", C208)), ISNUMBER(SEARCH("Liqueur", D208))), "Liqueur", "")))))</f>
        <v/>
      </c>
      <c r="C208" s="52" t="n"/>
      <c r="D208" s="51" t="inlineStr">
        <is>
          <t>Herradura Anejo Tequila (750mL/item) - $46.75 1</t>
        </is>
      </c>
      <c r="E208" s="52" t="n">
        <v>750</v>
      </c>
      <c r="F208" s="51">
        <f>TRIM(MID(D208, FIND("$", D208), FIND(" ", D208, FIND("$", D208)) - FIND("$", D208))
)</f>
        <v/>
      </c>
      <c r="G208" s="53" t="n">
        <v>29.57</v>
      </c>
      <c r="H208" s="54">
        <f>SUM(E208/G208)</f>
        <v/>
      </c>
      <c r="I208" s="104">
        <f>SUM(F208/H208)</f>
        <v/>
      </c>
      <c r="J208" s="105">
        <f>SUM(4*I208)</f>
        <v/>
      </c>
      <c r="K208" s="100">
        <f>SUM(I208*1.5)</f>
        <v/>
      </c>
      <c r="L208" s="101">
        <f>SUM(K208*4)</f>
        <v/>
      </c>
      <c r="M208" s="102">
        <f>SUM(I208*2)</f>
        <v/>
      </c>
      <c r="N208" s="103">
        <f>SUM(M208*4)</f>
        <v/>
      </c>
    </row>
    <row r="209" ht="15.75" customHeight="1">
      <c r="A209" s="35" t="n">
        <v>135</v>
      </c>
      <c r="B209" s="49">
        <f>IF(OR(ISNUMBER(SEARCH("Tequila", C209)), ISNUMBER(SEARCH("Tequila", D209))), "Tequila",
IF(OR(ISNUMBER(SEARCH("Rum", C209)), ISNUMBER(SEARCH("Rum", D209))), "Rum",
IF(OR(ISNUMBER(SEARCH("Whiskey", C209)), ISNUMBER(SEARCH("Whiskey", D209))), "Whiskey",
IF(OR(ISNUMBER(SEARCH("Gin", C209)), ISNUMBER(SEARCH("Gin", D209))), "Gin",
IF(OR(ISNUMBER(SEARCH("Liqueur", C209)), ISNUMBER(SEARCH("Liqueur", D209))), "Liqueur", "")))))</f>
        <v/>
      </c>
      <c r="C209" s="52" t="n"/>
      <c r="D209" s="51" t="inlineStr">
        <is>
          <t>Herradura Legend Anejo Tequila (750mL/item) - $122.57 4</t>
        </is>
      </c>
      <c r="E209" s="52" t="n">
        <v>750</v>
      </c>
      <c r="F209" s="51">
        <f>TRIM(MID(D209, FIND("$", D209), FIND(" ", D209, FIND("$", D209)) - FIND("$", D209))
)</f>
        <v/>
      </c>
      <c r="G209" s="53" t="n">
        <v>29.57</v>
      </c>
      <c r="H209" s="54">
        <f>SUM(E209/G209)</f>
        <v/>
      </c>
      <c r="I209" s="104">
        <f>SUM(F209/H209)</f>
        <v/>
      </c>
      <c r="J209" s="105">
        <f>SUM(4*I209)</f>
        <v/>
      </c>
      <c r="K209" s="100">
        <f>SUM(I209*1.5)</f>
        <v/>
      </c>
      <c r="L209" s="101">
        <f>SUM(K209*4)</f>
        <v/>
      </c>
      <c r="M209" s="102">
        <f>SUM(I209*2)</f>
        <v/>
      </c>
      <c r="N209" s="103">
        <f>SUM(M209*4)</f>
        <v/>
      </c>
    </row>
    <row r="210" ht="15.75" customHeight="1">
      <c r="A210" s="35" t="n">
        <v>136</v>
      </c>
      <c r="B210" s="49">
        <f>IF(OR(ISNUMBER(SEARCH("Tequila", C210)), ISNUMBER(SEARCH("Tequila", D210))), "Tequila",
IF(OR(ISNUMBER(SEARCH("Rum", C210)), ISNUMBER(SEARCH("Rum", D210))), "Rum",
IF(OR(ISNUMBER(SEARCH("Whiskey", C210)), ISNUMBER(SEARCH("Whiskey", D210))), "Whiskey",
IF(OR(ISNUMBER(SEARCH("Gin", C210)), ISNUMBER(SEARCH("Gin", D210))), "Gin",
IF(OR(ISNUMBER(SEARCH("Liqueur", C210)), ISNUMBER(SEARCH("Liqueur", D210))), "Liqueur", "")))))</f>
        <v/>
      </c>
      <c r="C210" s="57" t="n"/>
      <c r="D210" s="51" t="inlineStr">
        <is>
          <t>Herradura Reposado Tequila (750mL/item) - $43.48 1</t>
        </is>
      </c>
      <c r="E210" s="52" t="n">
        <v>750</v>
      </c>
      <c r="F210" s="51">
        <f>TRIM(MID(D210, FIND("$", D210), FIND(" ", D210, FIND("$", D210)) - FIND("$", D210))
)</f>
        <v/>
      </c>
      <c r="G210" s="53" t="n">
        <v>29.57</v>
      </c>
      <c r="H210" s="54">
        <f>SUM(E210/G210)</f>
        <v/>
      </c>
      <c r="I210" s="104">
        <f>SUM(F210/H210)</f>
        <v/>
      </c>
      <c r="J210" s="105">
        <f>SUM(4*I210)</f>
        <v/>
      </c>
      <c r="K210" s="100">
        <f>SUM(I210*1.5)</f>
        <v/>
      </c>
      <c r="L210" s="101">
        <f>SUM(K210*4)</f>
        <v/>
      </c>
      <c r="M210" s="102">
        <f>SUM(I210*2)</f>
        <v/>
      </c>
      <c r="N210" s="103">
        <f>SUM(M210*4)</f>
        <v/>
      </c>
    </row>
    <row r="211" ht="15.75" customHeight="1">
      <c r="A211" s="35" t="n">
        <v>137</v>
      </c>
      <c r="B211" s="49">
        <f>IF(OR(ISNUMBER(SEARCH("Tequila", C211)), ISNUMBER(SEARCH("Tequila", D211))), "Tequila",
IF(OR(ISNUMBER(SEARCH("Rum", C211)), ISNUMBER(SEARCH("Rum", D211))), "Rum",
IF(OR(ISNUMBER(SEARCH("Whiskey", C211)), ISNUMBER(SEARCH("Whiskey", D211))), "Whiskey",
IF(OR(ISNUMBER(SEARCH("Gin", C211)), ISNUMBER(SEARCH("Gin", D211))), "Gin",
IF(OR(ISNUMBER(SEARCH("Liqueur", C211)), ISNUMBER(SEARCH("Liqueur", D211))), "Liqueur", "")))))</f>
        <v/>
      </c>
      <c r="C211" s="58" t="n"/>
      <c r="D211" s="51" t="inlineStr">
        <is>
          <t>Herradura Silver Tequila (750mL/item) - $40.22 1</t>
        </is>
      </c>
      <c r="E211" s="52" t="n">
        <v>750</v>
      </c>
      <c r="F211" s="51">
        <f>TRIM(MID(D211, FIND("$", D211), FIND(" ", D211, FIND("$", D211)) - FIND("$", D211))
)</f>
        <v/>
      </c>
      <c r="G211" s="53" t="n">
        <v>29.57</v>
      </c>
      <c r="H211" s="54">
        <f>SUM(E211/G211)</f>
        <v/>
      </c>
      <c r="I211" s="104">
        <f>SUM(F211/H211)</f>
        <v/>
      </c>
      <c r="J211" s="105">
        <f>SUM(4*I211)</f>
        <v/>
      </c>
      <c r="K211" s="100">
        <f>SUM(I211*1.5)</f>
        <v/>
      </c>
      <c r="L211" s="101">
        <f>SUM(K211*4)</f>
        <v/>
      </c>
      <c r="M211" s="102">
        <f>SUM(I211*2)</f>
        <v/>
      </c>
      <c r="N211" s="103">
        <f>SUM(M211*4)</f>
        <v/>
      </c>
    </row>
    <row r="212" ht="15.75" customHeight="1">
      <c r="A212" s="35" t="n">
        <v>138</v>
      </c>
      <c r="B212" s="49">
        <f>IF(OR(ISNUMBER(SEARCH("Tequila", C212)), ISNUMBER(SEARCH("Tequila", D212))), "Tequila",
IF(OR(ISNUMBER(SEARCH("Rum", C212)), ISNUMBER(SEARCH("Rum", D212))), "Rum",
IF(OR(ISNUMBER(SEARCH("Whiskey", C212)), ISNUMBER(SEARCH("Whiskey", D212))), "Whiskey",
IF(OR(ISNUMBER(SEARCH("Gin", C212)), ISNUMBER(SEARCH("Gin", D212))), "Gin",
IF(OR(ISNUMBER(SEARCH("Liqueur", C212)), ISNUMBER(SEARCH("Liqueur", D212))), "Liqueur", "")))))</f>
        <v/>
      </c>
      <c r="C212" s="52" t="n"/>
      <c r="D212" s="51" t="inlineStr">
        <is>
          <t>Herradura Ultra Anejo Tequila (750mL/item) - $55.73 1</t>
        </is>
      </c>
      <c r="E212" s="52" t="n">
        <v>750</v>
      </c>
      <c r="F212" s="51">
        <f>TRIM(MID(D212, FIND("$", D212), FIND(" ", D212, FIND("$", D212)) - FIND("$", D212))
)</f>
        <v/>
      </c>
      <c r="G212" s="53" t="n">
        <v>29.57</v>
      </c>
      <c r="H212" s="54">
        <f>SUM(E212/G212)</f>
        <v/>
      </c>
      <c r="I212" s="104">
        <f>SUM(F212/H212)</f>
        <v/>
      </c>
      <c r="J212" s="105">
        <f>SUM(4*I212)</f>
        <v/>
      </c>
      <c r="K212" s="100">
        <f>SUM(I212*1.5)</f>
        <v/>
      </c>
      <c r="L212" s="101">
        <f>SUM(K212*4)</f>
        <v/>
      </c>
      <c r="M212" s="102">
        <f>SUM(I212*2)</f>
        <v/>
      </c>
      <c r="N212" s="103">
        <f>SUM(M212*4)</f>
        <v/>
      </c>
    </row>
    <row r="213" ht="15.75" customHeight="1">
      <c r="A213" s="35" t="n">
        <v>267</v>
      </c>
      <c r="B213" s="49">
        <f>IF(OR(ISNUMBER(SEARCH("Tequila", C213)), ISNUMBER(SEARCH("Tequila", D213))), "Tequila",
IF(OR(ISNUMBER(SEARCH("Rum", C213)), ISNUMBER(SEARCH("Rum", D213))), "Rum",
IF(OR(ISNUMBER(SEARCH("Whiskey", C213)), ISNUMBER(SEARCH("Whiskey", D213))), "Whiskey",
IF(OR(ISNUMBER(SEARCH("Gin", C213)), ISNUMBER(SEARCH("Gin", D213))), "Gin",
IF(OR(ISNUMBER(SEARCH("Liqueur", C213)), ISNUMBER(SEARCH("Liqueur", D213))), "Liqueur", "")))))</f>
        <v/>
      </c>
      <c r="C213" s="52" t="n"/>
      <c r="D213" s="51" t="n"/>
      <c r="E213" s="52" t="n"/>
      <c r="F213" s="51" t="n"/>
      <c r="G213" s="53" t="n"/>
      <c r="H213" s="54" t="n"/>
      <c r="I213" s="104" t="n"/>
      <c r="J213" s="105" t="n"/>
      <c r="K213" s="100" t="n"/>
      <c r="L213" s="101" t="n"/>
      <c r="M213" s="102" t="n"/>
      <c r="N213" s="103" t="n"/>
    </row>
    <row r="214" ht="15.75" customHeight="1">
      <c r="A214" s="35" t="n">
        <v>249</v>
      </c>
      <c r="B214" s="49">
        <f>IF(OR(ISNUMBER(SEARCH("Tequila", C214)), ISNUMBER(SEARCH("Tequila", D214))), "Tequila",
IF(OR(ISNUMBER(SEARCH("Rum", C214)), ISNUMBER(SEARCH("Rum", D214))), "Rum",
IF(OR(ISNUMBER(SEARCH("Whiskey", C214)), ISNUMBER(SEARCH("Whiskey", D214))), "Whiskey",
IF(OR(ISNUMBER(SEARCH("Gin", C214)), ISNUMBER(SEARCH("Gin", D214))), "Gin",
IF(OR(ISNUMBER(SEARCH("Liqueur", C214)), ISNUMBER(SEARCH("Liqueur", D214))), "Liqueur", "")))))</f>
        <v/>
      </c>
      <c r="C214" s="52" t="n"/>
      <c r="D214" s="51" t="n"/>
      <c r="E214" s="52" t="n"/>
      <c r="F214" s="51" t="n"/>
      <c r="G214" s="53" t="n"/>
      <c r="H214" s="54" t="n"/>
      <c r="I214" s="104" t="n"/>
      <c r="J214" s="105" t="n"/>
      <c r="K214" s="100" t="n"/>
      <c r="L214" s="101" t="n"/>
      <c r="M214" s="102" t="n"/>
      <c r="N214" s="103" t="n"/>
    </row>
    <row r="215" ht="15.75" customHeight="1">
      <c r="A215" s="59" t="n"/>
      <c r="B215" s="49">
        <f>IF(OR(ISNUMBER(SEARCH("Tequila", C215)), ISNUMBER(SEARCH("Tequila", D215))), "Tequila",
IF(OR(ISNUMBER(SEARCH("Rum", C215)), ISNUMBER(SEARCH("Rum", D215))), "Rum",
IF(OR(ISNUMBER(SEARCH("Whiskey", C215)), ISNUMBER(SEARCH("Whiskey", D215))), "Whiskey",
IF(OR(ISNUMBER(SEARCH("Gin", C215)), ISNUMBER(SEARCH("Gin", D215))), "Gin",
IF(OR(ISNUMBER(SEARCH("Liqueur", C215)), ISNUMBER(SEARCH("Liqueur", D215))), "Liqueur", "")))))</f>
        <v/>
      </c>
      <c r="C215" s="52" t="n"/>
      <c r="D215" s="60" t="inlineStr">
        <is>
          <t>Hussongs Anejo Tequila (750mL) $53.28 1</t>
        </is>
      </c>
      <c r="E215" s="52" t="n">
        <v>750</v>
      </c>
      <c r="F215" s="51">
        <f>TRIM(MID(D215, FIND("$", D215), FIND(" ", D215, FIND("$", D215)) - FIND("$", D215))
)</f>
        <v/>
      </c>
      <c r="G215" s="53" t="n">
        <v>29.57</v>
      </c>
      <c r="H215" s="54">
        <f>SUM(E215/G215)</f>
        <v/>
      </c>
      <c r="I215" s="104">
        <f>SUM(F215/H215)</f>
        <v/>
      </c>
      <c r="J215" s="105">
        <f>SUM(4*I215)</f>
        <v/>
      </c>
      <c r="K215" s="100">
        <f>SUM(I215*1.5)</f>
        <v/>
      </c>
      <c r="L215" s="101">
        <f>SUM(K215*4)</f>
        <v/>
      </c>
      <c r="M215" s="102">
        <f>SUM(I215*2)</f>
        <v/>
      </c>
      <c r="N215" s="103">
        <f>SUM(M215*4)</f>
        <v/>
      </c>
    </row>
    <row r="216" ht="15.75" customHeight="1">
      <c r="A216" s="35" t="n">
        <v>139</v>
      </c>
      <c r="B216" s="49">
        <f>IF(OR(ISNUMBER(SEARCH("Tequila", C216)), ISNUMBER(SEARCH("Tequila", D216))), "Tequila",
IF(OR(ISNUMBER(SEARCH("Rum", C216)), ISNUMBER(SEARCH("Rum", D216))), "Rum",
IF(OR(ISNUMBER(SEARCH("Whiskey", C216)), ISNUMBER(SEARCH("Whiskey", D216))), "Whiskey",
IF(OR(ISNUMBER(SEARCH("Gin", C216)), ISNUMBER(SEARCH("Gin", D216))), "Gin",
IF(OR(ISNUMBER(SEARCH("Liqueur", C216)), ISNUMBER(SEARCH("Liqueur", D216))), "Liqueur", "")))))</f>
        <v/>
      </c>
      <c r="C216" s="57" t="n"/>
      <c r="D216" s="51" t="inlineStr">
        <is>
          <t>Hussongs Reposado Tequila (750ML/item) - $36.94 1</t>
        </is>
      </c>
      <c r="E216" s="52" t="n">
        <v>750</v>
      </c>
      <c r="F216" s="51">
        <f>TRIM(MID(D216, FIND("$", D216), FIND(" ", D216, FIND("$", D216)) - FIND("$", D216))
)</f>
        <v/>
      </c>
      <c r="G216" s="53" t="n">
        <v>29.57</v>
      </c>
      <c r="H216" s="54">
        <f>SUM(E216/G216)</f>
        <v/>
      </c>
      <c r="I216" s="104">
        <f>SUM(F216/H216)</f>
        <v/>
      </c>
      <c r="J216" s="105">
        <f>SUM(4*I216)</f>
        <v/>
      </c>
      <c r="K216" s="100">
        <f>SUM(I216*1.5)</f>
        <v/>
      </c>
      <c r="L216" s="101">
        <f>SUM(K216*4)</f>
        <v/>
      </c>
      <c r="M216" s="102">
        <f>SUM(I216*2)</f>
        <v/>
      </c>
      <c r="N216" s="103">
        <f>SUM(M216*4)</f>
        <v/>
      </c>
    </row>
    <row r="217" ht="15.75" customHeight="1">
      <c r="A217" s="35" t="n">
        <v>140</v>
      </c>
      <c r="B217" s="49">
        <f>IF(OR(ISNUMBER(SEARCH("Tequila", C217)), ISNUMBER(SEARCH("Tequila", D217))), "Tequila",
IF(OR(ISNUMBER(SEARCH("Rum", C217)), ISNUMBER(SEARCH("Rum", D217))), "Rum",
IF(OR(ISNUMBER(SEARCH("Whiskey", C217)), ISNUMBER(SEARCH("Whiskey", D217))), "Whiskey",
IF(OR(ISNUMBER(SEARCH("Gin", C217)), ISNUMBER(SEARCH("Gin", D217))), "Gin",
IF(OR(ISNUMBER(SEARCH("Liqueur", C217)), ISNUMBER(SEARCH("Liqueur", D217))), "Liqueur", "")))))</f>
        <v/>
      </c>
      <c r="C217" s="58" t="n"/>
      <c r="D217" s="51" t="inlineStr">
        <is>
          <t>Hussongs Silver Tequila (750ML/item) - $32.85 1</t>
        </is>
      </c>
      <c r="E217" s="52" t="n">
        <v>750</v>
      </c>
      <c r="F217" s="51">
        <f>TRIM(MID(D217, FIND("$", D217), FIND(" ", D217, FIND("$", D217)) - FIND("$", D217))
)</f>
        <v/>
      </c>
      <c r="G217" s="53" t="n">
        <v>29.57</v>
      </c>
      <c r="H217" s="54">
        <f>SUM(E217/G217)</f>
        <v/>
      </c>
      <c r="I217" s="104">
        <f>SUM(F217/H217)</f>
        <v/>
      </c>
      <c r="J217" s="105">
        <f>SUM(4*I217)</f>
        <v/>
      </c>
      <c r="K217" s="100">
        <f>SUM(I217*1.5)</f>
        <v/>
      </c>
      <c r="L217" s="101">
        <f>SUM(K217*4)</f>
        <v/>
      </c>
      <c r="M217" s="102">
        <f>SUM(I217*2)</f>
        <v/>
      </c>
      <c r="N217" s="103">
        <f>SUM(M217*4)</f>
        <v/>
      </c>
    </row>
    <row r="218" ht="15.75" customHeight="1">
      <c r="A218" s="35" t="n">
        <v>250</v>
      </c>
      <c r="B218" s="49">
        <f>IF(OR(ISNUMBER(SEARCH("Tequila", C218)), ISNUMBER(SEARCH("Tequila", D218))), "Tequila",
IF(OR(ISNUMBER(SEARCH("Rum", C218)), ISNUMBER(SEARCH("Rum", D218))), "Rum",
IF(OR(ISNUMBER(SEARCH("Whiskey", C218)), ISNUMBER(SEARCH("Whiskey", D218))), "Whiskey",
IF(OR(ISNUMBER(SEARCH("Gin", C218)), ISNUMBER(SEARCH("Gin", D218))), "Gin",
IF(OR(ISNUMBER(SEARCH("Liqueur", C218)), ISNUMBER(SEARCH("Liqueur", D218))), "Liqueur", "")))))</f>
        <v/>
      </c>
      <c r="C218" s="58" t="n"/>
      <c r="D218" s="51" t="n"/>
      <c r="E218" s="52" t="n"/>
      <c r="F218" s="51" t="n"/>
      <c r="G218" s="53" t="n"/>
      <c r="H218" s="54" t="n"/>
      <c r="I218" s="104" t="n"/>
      <c r="J218" s="105" t="n"/>
      <c r="K218" s="100" t="n"/>
      <c r="L218" s="101" t="n"/>
      <c r="M218" s="102" t="n"/>
      <c r="N218" s="103" t="n"/>
    </row>
    <row r="219" ht="15.75" customHeight="1">
      <c r="A219" s="59" t="n"/>
      <c r="B219" s="49">
        <f>IF(OR(ISNUMBER(SEARCH("Tequila", C219)), ISNUMBER(SEARCH("Tequila", D219))), "Tequila",
IF(OR(ISNUMBER(SEARCH("Rum", C219)), ISNUMBER(SEARCH("Rum", D219))), "Rum",
IF(OR(ISNUMBER(SEARCH("Whiskey", C219)), ISNUMBER(SEARCH("Whiskey", D219))), "Whiskey",
IF(OR(ISNUMBER(SEARCH("Gin", C219)), ISNUMBER(SEARCH("Gin", D219))), "Gin",
IF(OR(ISNUMBER(SEARCH("Liqueur", C219)), ISNUMBER(SEARCH("Liqueur", D219))), "Liqueur", "")))))</f>
        <v/>
      </c>
      <c r="C219" s="52" t="n"/>
      <c r="D219" s="60" t="inlineStr">
        <is>
          <t>Insolito Anejo Tequila (750mL) $51.84 1</t>
        </is>
      </c>
      <c r="E219" s="52" t="n">
        <v>750</v>
      </c>
      <c r="F219" s="51">
        <f>TRIM(MID(D219, FIND("$", D219), FIND(" ", D219, FIND("$", D219)) - FIND("$", D219))
)</f>
        <v/>
      </c>
      <c r="G219" s="53" t="n">
        <v>29.57</v>
      </c>
      <c r="H219" s="54">
        <f>SUM(E219/G219)</f>
        <v/>
      </c>
      <c r="I219" s="104">
        <f>SUM(F219/H219)</f>
        <v/>
      </c>
      <c r="J219" s="105">
        <f>SUM(4*I219)</f>
        <v/>
      </c>
      <c r="K219" s="100">
        <f>SUM(I219*1.5)</f>
        <v/>
      </c>
      <c r="L219" s="101">
        <f>SUM(K219*4)</f>
        <v/>
      </c>
      <c r="M219" s="102">
        <f>SUM(I219*2)</f>
        <v/>
      </c>
      <c r="N219" s="103">
        <f>SUM(M219*4)</f>
        <v/>
      </c>
    </row>
    <row r="220" ht="15.75" customHeight="1">
      <c r="A220" s="59" t="n"/>
      <c r="B220" s="49">
        <f>IF(OR(ISNUMBER(SEARCH("Tequila", C220)), ISNUMBER(SEARCH("Tequila", D220))), "Tequila",
IF(OR(ISNUMBER(SEARCH("Rum", C220)), ISNUMBER(SEARCH("Rum", D220))), "Rum",
IF(OR(ISNUMBER(SEARCH("Whiskey", C220)), ISNUMBER(SEARCH("Whiskey", D220))), "Whiskey",
IF(OR(ISNUMBER(SEARCH("Gin", C220)), ISNUMBER(SEARCH("Gin", D220))), "Gin",
IF(OR(ISNUMBER(SEARCH("Liqueur", C220)), ISNUMBER(SEARCH("Liqueur", D220))), "Liqueur", "")))))</f>
        <v/>
      </c>
      <c r="C220" s="58" t="n"/>
      <c r="D220" s="60" t="inlineStr">
        <is>
          <t>Insolito Blanco Tequila (750mL) $35.43 1</t>
        </is>
      </c>
      <c r="E220" s="52" t="n">
        <v>750</v>
      </c>
      <c r="F220" s="51">
        <f>TRIM(MID(D220, FIND("$", D220), FIND(" ", D220, FIND("$", D220)) - FIND("$", D220))
)</f>
        <v/>
      </c>
      <c r="G220" s="53" t="n">
        <v>29.57</v>
      </c>
      <c r="H220" s="54">
        <f>SUM(E220/G220)</f>
        <v/>
      </c>
      <c r="I220" s="104">
        <f>SUM(F220/H220)</f>
        <v/>
      </c>
      <c r="J220" s="105">
        <f>SUM(4*I220)</f>
        <v/>
      </c>
      <c r="K220" s="100">
        <f>SUM(I220*1.5)</f>
        <v/>
      </c>
      <c r="L220" s="101">
        <f>SUM(K220*4)</f>
        <v/>
      </c>
      <c r="M220" s="102">
        <f>SUM(I220*2)</f>
        <v/>
      </c>
      <c r="N220" s="103">
        <f>SUM(M220*4)</f>
        <v/>
      </c>
    </row>
    <row r="221" ht="15.75" customHeight="1">
      <c r="A221" s="59" t="n"/>
      <c r="B221" s="49">
        <f>IF(OR(ISNUMBER(SEARCH("Tequila", C221)), ISNUMBER(SEARCH("Tequila", D221))), "Tequila",
IF(OR(ISNUMBER(SEARCH("Rum", C221)), ISNUMBER(SEARCH("Rum", D221))), "Rum",
IF(OR(ISNUMBER(SEARCH("Whiskey", C221)), ISNUMBER(SEARCH("Whiskey", D221))), "Whiskey",
IF(OR(ISNUMBER(SEARCH("Gin", C221)), ISNUMBER(SEARCH("Gin", D221))), "Gin",
IF(OR(ISNUMBER(SEARCH("Liqueur", C221)), ISNUMBER(SEARCH("Liqueur", D221))), "Liqueur", "")))))</f>
        <v/>
      </c>
      <c r="C221" s="52" t="n"/>
      <c r="D221" s="60" t="inlineStr">
        <is>
          <t>Insolito Reposado Tequila (750mL) $43.64 1</t>
        </is>
      </c>
      <c r="E221" s="52" t="n">
        <v>750</v>
      </c>
      <c r="F221" s="51">
        <f>TRIM(MID(D221, FIND("$", D221), FIND(" ", D221, FIND("$", D221)) - FIND("$", D221))
)</f>
        <v/>
      </c>
      <c r="G221" s="53" t="n">
        <v>29.57</v>
      </c>
      <c r="H221" s="54">
        <f>SUM(E221/G221)</f>
        <v/>
      </c>
      <c r="I221" s="104">
        <f>SUM(F221/H221)</f>
        <v/>
      </c>
      <c r="J221" s="105">
        <f>SUM(4*I221)</f>
        <v/>
      </c>
      <c r="K221" s="100">
        <f>SUM(I221*1.5)</f>
        <v/>
      </c>
      <c r="L221" s="101">
        <f>SUM(K221*4)</f>
        <v/>
      </c>
      <c r="M221" s="102">
        <f>SUM(I221*2)</f>
        <v/>
      </c>
      <c r="N221" s="103">
        <f>SUM(M221*4)</f>
        <v/>
      </c>
    </row>
    <row r="222" ht="15.75" customHeight="1">
      <c r="A222" s="35" t="n">
        <v>251</v>
      </c>
      <c r="B222" s="49">
        <f>IF(OR(ISNUMBER(SEARCH("Tequila", C222)), ISNUMBER(SEARCH("Tequila", D222))), "Tequila",
IF(OR(ISNUMBER(SEARCH("Rum", C222)), ISNUMBER(SEARCH("Rum", D222))), "Rum",
IF(OR(ISNUMBER(SEARCH("Whiskey", C222)), ISNUMBER(SEARCH("Whiskey", D222))), "Whiskey",
IF(OR(ISNUMBER(SEARCH("Gin", C222)), ISNUMBER(SEARCH("Gin", D222))), "Gin",
IF(OR(ISNUMBER(SEARCH("Liqueur", C222)), ISNUMBER(SEARCH("Liqueur", D222))), "Liqueur", "")))))</f>
        <v/>
      </c>
      <c r="C222" s="52" t="n"/>
      <c r="D222" s="51" t="n"/>
      <c r="E222" s="52" t="n"/>
      <c r="F222" s="51" t="n"/>
      <c r="G222" s="53" t="n"/>
      <c r="H222" s="54" t="n"/>
      <c r="I222" s="104" t="n"/>
      <c r="J222" s="105" t="n"/>
      <c r="K222" s="100" t="n"/>
      <c r="L222" s="101" t="n"/>
      <c r="M222" s="102" t="n"/>
      <c r="N222" s="103" t="n"/>
    </row>
    <row r="223" ht="15.75" customHeight="1">
      <c r="A223" s="35" t="n">
        <v>14</v>
      </c>
      <c r="B223" s="49">
        <f>IF(OR(ISNUMBER(SEARCH("Tequila", C223)), ISNUMBER(SEARCH("Tequila", D223))), "Tequila",
IF(OR(ISNUMBER(SEARCH("Rum", C223)), ISNUMBER(SEARCH("Rum", D223))), "Rum",
IF(OR(ISNUMBER(SEARCH("Whiskey", C223)), ISNUMBER(SEARCH("Whiskey", D223))), "Whiskey",
IF(OR(ISNUMBER(SEARCH("Gin", C223)), ISNUMBER(SEARCH("Gin", D223))), "Gin",
IF(OR(ISNUMBER(SEARCH("Liqueur", C223)), ISNUMBER(SEARCH("Liqueur", D223))), "Liqueur", "")))))</f>
        <v/>
      </c>
      <c r="C223" s="52" t="n"/>
      <c r="D223" s="51" t="inlineStr">
        <is>
          <t>J Rieger Vodka (750mL /item) $18.96 3</t>
        </is>
      </c>
      <c r="E223" s="52" t="n">
        <v>750</v>
      </c>
      <c r="F223" s="51">
        <f>TRIM(MID(D223, FIND("$", D223), FIND(" ", D223, FIND("$", D223)) - FIND("$", D223))
)</f>
        <v/>
      </c>
      <c r="G223" s="53" t="n">
        <v>29.57</v>
      </c>
      <c r="H223" s="54">
        <f>SUM(E223/G223)</f>
        <v/>
      </c>
      <c r="I223" s="104">
        <f>SUM(F223/H223)</f>
        <v/>
      </c>
      <c r="J223" s="105">
        <f>SUM(4*I223)</f>
        <v/>
      </c>
      <c r="K223" s="100">
        <f>SUM(I223*1.5)</f>
        <v/>
      </c>
      <c r="L223" s="101">
        <f>SUM(K223*4)</f>
        <v/>
      </c>
      <c r="M223" s="102">
        <f>SUM(I223*2)</f>
        <v/>
      </c>
      <c r="N223" s="103">
        <f>SUM(M223*4)</f>
        <v/>
      </c>
    </row>
    <row r="224" ht="15.75" customHeight="1">
      <c r="A224" s="35" t="n">
        <v>338</v>
      </c>
      <c r="B224" s="49">
        <f>IF(OR(ISNUMBER(SEARCH("Tequila", C224)), ISNUMBER(SEARCH("Tequila", D224))), "Tequila",
IF(OR(ISNUMBER(SEARCH("Rum", C224)), ISNUMBER(SEARCH("Rum", D224))), "Rum",
IF(OR(ISNUMBER(SEARCH("Whiskey", C224)), ISNUMBER(SEARCH("Whiskey", D224))), "Whiskey",
IF(OR(ISNUMBER(SEARCH("Gin", C224)), ISNUMBER(SEARCH("Gin", D224))), "Gin",
IF(OR(ISNUMBER(SEARCH("Liqueur", C224)), ISNUMBER(SEARCH("Liqueur", D224))), "Liqueur", "")))))</f>
        <v/>
      </c>
      <c r="C224" s="52" t="n"/>
      <c r="D224" s="51" t="inlineStr">
        <is>
          <t>Jagermeister Liqueur NFD (750mL/item) - $22.23 2</t>
        </is>
      </c>
      <c r="E224" s="52" t="n">
        <v>750</v>
      </c>
      <c r="F224" s="51">
        <f>TRIM(MID(D224, FIND("$", D224), FIND(" ", D224, FIND("$", D224)) - FIND("$", D224))
)</f>
        <v/>
      </c>
      <c r="G224" s="53" t="n">
        <v>29.57</v>
      </c>
      <c r="H224" s="54">
        <f>SUM(E224/G224)</f>
        <v/>
      </c>
      <c r="I224" s="104">
        <f>SUM(F224/H224)</f>
        <v/>
      </c>
      <c r="J224" s="105">
        <f>SUM(4*I224)</f>
        <v/>
      </c>
      <c r="K224" s="100">
        <f>SUM(I224*1.5)</f>
        <v/>
      </c>
      <c r="L224" s="101">
        <f>SUM(K224*4)</f>
        <v/>
      </c>
      <c r="M224" s="102">
        <f>SUM(I224*2)</f>
        <v/>
      </c>
      <c r="N224" s="103">
        <f>SUM(M224*4)</f>
        <v/>
      </c>
    </row>
    <row r="225" ht="15.75" customHeight="1">
      <c r="A225" s="35" t="n">
        <v>332</v>
      </c>
      <c r="B225" s="49">
        <f>IF(OR(ISNUMBER(SEARCH("Tequila", C225)), ISNUMBER(SEARCH("Tequila", D225))), "Tequila",
IF(OR(ISNUMBER(SEARCH("Rum", C225)), ISNUMBER(SEARCH("Rum", D225))), "Rum",
IF(OR(ISNUMBER(SEARCH("Whiskey", C225)), ISNUMBER(SEARCH("Whiskey", D225))), "Whiskey",
IF(OR(ISNUMBER(SEARCH("Gin", C225)), ISNUMBER(SEARCH("Gin", D225))), "Gin",
IF(OR(ISNUMBER(SEARCH("Liqueur", C225)), ISNUMBER(SEARCH("Liqueur", D225))), "Liqueur", "")))))</f>
        <v/>
      </c>
      <c r="C225" s="52" t="n"/>
      <c r="D225" s="51" t="inlineStr">
        <is>
          <t>Johnnie Walker Black Label Blended Scotch Whiskey (750mL/item) - $30.24 1</t>
        </is>
      </c>
      <c r="E225" s="52" t="n">
        <v>750</v>
      </c>
      <c r="F225" s="51">
        <f>TRIM(MID(D225, FIND("$", D225), FIND(" ", D225, FIND("$", D225)) - FIND("$", D225))
)</f>
        <v/>
      </c>
      <c r="G225" s="53" t="n">
        <v>29.57</v>
      </c>
      <c r="H225" s="54">
        <f>SUM(E225/G225)</f>
        <v/>
      </c>
      <c r="I225" s="104">
        <f>SUM(F225/H225)</f>
        <v/>
      </c>
      <c r="J225" s="105">
        <f>SUM(4*I225)</f>
        <v/>
      </c>
      <c r="K225" s="100">
        <f>SUM(I225*1.5)</f>
        <v/>
      </c>
      <c r="L225" s="101">
        <f>SUM(K225*4)</f>
        <v/>
      </c>
      <c r="M225" s="102">
        <f>SUM(I225*2)</f>
        <v/>
      </c>
      <c r="N225" s="103">
        <f>SUM(M225*4)</f>
        <v/>
      </c>
    </row>
    <row r="226" ht="15.75" customHeight="1">
      <c r="A226" s="35" t="n">
        <v>333</v>
      </c>
      <c r="B226" s="49">
        <f>IF(OR(ISNUMBER(SEARCH("Tequila", C226)), ISNUMBER(SEARCH("Tequila", D226))), "Tequila",
IF(OR(ISNUMBER(SEARCH("Rum", C226)), ISNUMBER(SEARCH("Rum", D226))), "Rum",
IF(OR(ISNUMBER(SEARCH("Whiskey", C226)), ISNUMBER(SEARCH("Whiskey", D226))), "Whiskey",
IF(OR(ISNUMBER(SEARCH("Gin", C226)), ISNUMBER(SEARCH("Gin", D226))), "Gin",
IF(OR(ISNUMBER(SEARCH("Liqueur", C226)), ISNUMBER(SEARCH("Liqueur", D226))), "Liqueur", "")))))</f>
        <v/>
      </c>
      <c r="C226" s="52" t="n"/>
      <c r="D226" s="51" t="inlineStr">
        <is>
          <t>Johnnie Walker Blue Label Blended Scotch Whiskey (750mL/item) - $202.71 1</t>
        </is>
      </c>
      <c r="E226" s="52" t="n">
        <v>750</v>
      </c>
      <c r="F226" s="51">
        <f>TRIM(MID(D226, FIND("$", D226), FIND(" ", D226, FIND("$", D226)) - FIND("$", D226))
)</f>
        <v/>
      </c>
      <c r="G226" s="53" t="n">
        <v>29.57</v>
      </c>
      <c r="H226" s="54">
        <f>SUM(E226/G226)</f>
        <v/>
      </c>
      <c r="I226" s="104">
        <f>SUM(F226/H226)</f>
        <v/>
      </c>
      <c r="J226" s="105">
        <f>SUM(4*I226)</f>
        <v/>
      </c>
      <c r="K226" s="100">
        <f>SUM(I226*1.5)</f>
        <v/>
      </c>
      <c r="L226" s="101">
        <f>SUM(K226*4)</f>
        <v/>
      </c>
      <c r="M226" s="102">
        <f>SUM(I226*2)</f>
        <v/>
      </c>
      <c r="N226" s="103">
        <f>SUM(M226*4)</f>
        <v/>
      </c>
    </row>
    <row r="227" ht="15.75" customHeight="1">
      <c r="A227" s="35" t="n">
        <v>268</v>
      </c>
      <c r="B227" s="49">
        <f>IF(OR(ISNUMBER(SEARCH("Tequila", C227)), ISNUMBER(SEARCH("Tequila", D227))), "Tequila",
IF(OR(ISNUMBER(SEARCH("Rum", C227)), ISNUMBER(SEARCH("Rum", D227))), "Rum",
IF(OR(ISNUMBER(SEARCH("Whiskey", C227)), ISNUMBER(SEARCH("Whiskey", D227))), "Whiskey",
IF(OR(ISNUMBER(SEARCH("Gin", C227)), ISNUMBER(SEARCH("Gin", D227))), "Gin",
IF(OR(ISNUMBER(SEARCH("Liqueur", C227)), ISNUMBER(SEARCH("Liqueur", D227))), "Liqueur", "")))))</f>
        <v/>
      </c>
      <c r="C227" s="52" t="n"/>
      <c r="D227" s="51" t="n"/>
      <c r="E227" s="52" t="n"/>
      <c r="F227" s="51" t="n"/>
      <c r="G227" s="53" t="n"/>
      <c r="H227" s="54" t="n"/>
      <c r="I227" s="104" t="n"/>
      <c r="J227" s="105" t="n"/>
      <c r="K227" s="100" t="n"/>
      <c r="L227" s="101" t="n"/>
      <c r="M227" s="102" t="n"/>
      <c r="N227" s="103" t="n"/>
    </row>
    <row r="228" ht="15.75" customHeight="1">
      <c r="A228" s="35" t="n">
        <v>16</v>
      </c>
      <c r="B228" s="49">
        <f>IF(OR(ISNUMBER(SEARCH("Tequila", C228)), ISNUMBER(SEARCH("Tequila", D228))), "Tequila",
IF(OR(ISNUMBER(SEARCH("Rum", C228)), ISNUMBER(SEARCH("Rum", D228))), "Rum",
IF(OR(ISNUMBER(SEARCH("Whiskey", C228)), ISNUMBER(SEARCH("Whiskey", D228))), "Whiskey",
IF(OR(ISNUMBER(SEARCH("Gin", C228)), ISNUMBER(SEARCH("Gin", D228))), "Gin",
IF(OR(ISNUMBER(SEARCH("Liqueur", C228)), ISNUMBER(SEARCH("Liqueur", D228))), "Liqueur", "")))))</f>
        <v/>
      </c>
      <c r="C228" s="52" t="n"/>
      <c r="D228" s="51" t="inlineStr">
        <is>
          <t>Junipero Gin (750mL / item) $20.60 2</t>
        </is>
      </c>
      <c r="E228" s="52" t="n">
        <v>750</v>
      </c>
      <c r="F228" s="51">
        <f>TRIM(MID(D228, FIND("$", D228), FIND(" ", D228, FIND("$", D228)) - FIND("$", D228))
)</f>
        <v/>
      </c>
      <c r="G228" s="53" t="n">
        <v>29.57</v>
      </c>
      <c r="H228" s="54">
        <f>SUM(E228/G228)</f>
        <v/>
      </c>
      <c r="I228" s="104">
        <f>SUM(F228/H228)</f>
        <v/>
      </c>
      <c r="J228" s="105">
        <f>SUM(4*I228)</f>
        <v/>
      </c>
      <c r="K228" s="100">
        <f>SUM(I228*1.5)</f>
        <v/>
      </c>
      <c r="L228" s="101">
        <f>SUM(K228*4)</f>
        <v/>
      </c>
      <c r="M228" s="102">
        <f>SUM(I228*2)</f>
        <v/>
      </c>
      <c r="N228" s="103">
        <f>SUM(M228*4)</f>
        <v/>
      </c>
    </row>
    <row r="229" ht="15.75" customHeight="1">
      <c r="A229" s="35" t="n">
        <v>141</v>
      </c>
      <c r="B229" s="49">
        <f>IF(OR(ISNUMBER(SEARCH("Tequila", C229)), ISNUMBER(SEARCH("Tequila", D229))), "Tequila",
IF(OR(ISNUMBER(SEARCH("Rum", C229)), ISNUMBER(SEARCH("Rum", D229))), "Rum",
IF(OR(ISNUMBER(SEARCH("Whiskey", C229)), ISNUMBER(SEARCH("Whiskey", D229))), "Whiskey",
IF(OR(ISNUMBER(SEARCH("Gin", C229)), ISNUMBER(SEARCH("Gin", D229))), "Gin",
IF(OR(ISNUMBER(SEARCH("Liqueur", C229)), ISNUMBER(SEARCH("Liqueur", D229))), "Liqueur", "")))))</f>
        <v/>
      </c>
      <c r="C229" s="52" t="n"/>
      <c r="D229" s="51" t="inlineStr">
        <is>
          <t>Kah Anejo Tequila (750mL/item) - $55.74 1</t>
        </is>
      </c>
      <c r="E229" s="52" t="n">
        <v>750</v>
      </c>
      <c r="F229" s="51">
        <f>TRIM(MID(D229, FIND("$", D229), FIND(" ", D229, FIND("$", D229)) - FIND("$", D229))
)</f>
        <v/>
      </c>
      <c r="G229" s="53" t="n">
        <v>29.57</v>
      </c>
      <c r="H229" s="54">
        <f>SUM(E229/G229)</f>
        <v/>
      </c>
      <c r="I229" s="104">
        <f>SUM(F229/H229)</f>
        <v/>
      </c>
      <c r="J229" s="105">
        <f>SUM(4*I229)</f>
        <v/>
      </c>
      <c r="K229" s="100">
        <f>SUM(I229*1.5)</f>
        <v/>
      </c>
      <c r="L229" s="101">
        <f>SUM(K229*4)</f>
        <v/>
      </c>
      <c r="M229" s="102">
        <f>SUM(I229*2)</f>
        <v/>
      </c>
      <c r="N229" s="103">
        <f>SUM(M229*4)</f>
        <v/>
      </c>
    </row>
    <row r="230" ht="15.75" customHeight="1">
      <c r="A230" s="35" t="n">
        <v>142</v>
      </c>
      <c r="B230" s="49">
        <f>IF(OR(ISNUMBER(SEARCH("Tequila", C230)), ISNUMBER(SEARCH("Tequila", D230))), "Tequila",
IF(OR(ISNUMBER(SEARCH("Rum", C230)), ISNUMBER(SEARCH("Rum", D230))), "Rum",
IF(OR(ISNUMBER(SEARCH("Whiskey", C230)), ISNUMBER(SEARCH("Whiskey", D230))), "Whiskey",
IF(OR(ISNUMBER(SEARCH("Gin", C230)), ISNUMBER(SEARCH("Gin", D230))), "Gin",
IF(OR(ISNUMBER(SEARCH("Liqueur", C230)), ISNUMBER(SEARCH("Liqueur", D230))), "Liqueur", "")))))</f>
        <v/>
      </c>
      <c r="C230" s="58" t="n"/>
      <c r="D230" s="51" t="inlineStr">
        <is>
          <t>Kah Blanco Tequila (750mL/item) - $43.48 1</t>
        </is>
      </c>
      <c r="E230" s="52" t="n">
        <v>750</v>
      </c>
      <c r="F230" s="51">
        <f>TRIM(MID(D230, FIND("$", D230), FIND(" ", D230, FIND("$", D230)) - FIND("$", D230))
)</f>
        <v/>
      </c>
      <c r="G230" s="53" t="n">
        <v>29.57</v>
      </c>
      <c r="H230" s="54">
        <f>SUM(E230/G230)</f>
        <v/>
      </c>
      <c r="I230" s="104">
        <f>SUM(F230/H230)</f>
        <v/>
      </c>
      <c r="J230" s="105">
        <f>SUM(4*I230)</f>
        <v/>
      </c>
      <c r="K230" s="100">
        <f>SUM(I230*1.5)</f>
        <v/>
      </c>
      <c r="L230" s="101">
        <f>SUM(K230*4)</f>
        <v/>
      </c>
      <c r="M230" s="102">
        <f>SUM(I230*2)</f>
        <v/>
      </c>
      <c r="N230" s="103">
        <f>SUM(M230*4)</f>
        <v/>
      </c>
    </row>
    <row r="231" ht="15.75" customHeight="1">
      <c r="A231" s="35" t="n">
        <v>143</v>
      </c>
      <c r="B231" s="49">
        <f>IF(OR(ISNUMBER(SEARCH("Tequila", C231)), ISNUMBER(SEARCH("Tequila", D231))), "Tequila",
IF(OR(ISNUMBER(SEARCH("Rum", C231)), ISNUMBER(SEARCH("Rum", D231))), "Rum",
IF(OR(ISNUMBER(SEARCH("Whiskey", C231)), ISNUMBER(SEARCH("Whiskey", D231))), "Whiskey",
IF(OR(ISNUMBER(SEARCH("Gin", C231)), ISNUMBER(SEARCH("Gin", D231))), "Gin",
IF(OR(ISNUMBER(SEARCH("Liqueur", C231)), ISNUMBER(SEARCH("Liqueur", D231))), "Liqueur", "")))))</f>
        <v/>
      </c>
      <c r="C231" s="52" t="n"/>
      <c r="D231" s="51" t="inlineStr">
        <is>
          <t>Kah Reposado Tequila (750mL/item) - $50.02 1</t>
        </is>
      </c>
      <c r="E231" s="52" t="n">
        <v>750</v>
      </c>
      <c r="F231" s="51">
        <f>TRIM(MID(D231, FIND("$", D231), FIND(" ", D231, FIND("$", D231)) - FIND("$", D231))
)</f>
        <v/>
      </c>
      <c r="G231" s="53" t="n">
        <v>29.57</v>
      </c>
      <c r="H231" s="54">
        <f>SUM(E231/G231)</f>
        <v/>
      </c>
      <c r="I231" s="104">
        <f>SUM(F231/H231)</f>
        <v/>
      </c>
      <c r="J231" s="105">
        <f>SUM(4*I231)</f>
        <v/>
      </c>
      <c r="K231" s="100">
        <f>SUM(I231*1.5)</f>
        <v/>
      </c>
      <c r="L231" s="101">
        <f>SUM(K231*4)</f>
        <v/>
      </c>
      <c r="M231" s="102">
        <f>SUM(I231*2)</f>
        <v/>
      </c>
      <c r="N231" s="103">
        <f>SUM(M231*4)</f>
        <v/>
      </c>
    </row>
    <row r="232" ht="15.75" customHeight="1">
      <c r="A232" s="35" t="n">
        <v>335</v>
      </c>
      <c r="B232" s="49">
        <f>IF(OR(ISNUMBER(SEARCH("Tequila", C232)), ISNUMBER(SEARCH("Tequila", D232))), "Tequila",
IF(OR(ISNUMBER(SEARCH("Rum", C232)), ISNUMBER(SEARCH("Rum", D232))), "Rum",
IF(OR(ISNUMBER(SEARCH("Whiskey", C232)), ISNUMBER(SEARCH("Whiskey", D232))), "Whiskey",
IF(OR(ISNUMBER(SEARCH("Gin", C232)), ISNUMBER(SEARCH("Gin", D232))), "Gin",
IF(OR(ISNUMBER(SEARCH("Liqueur", C232)), ISNUMBER(SEARCH("Liqueur", D232))), "Liqueur", "")))))</f>
        <v/>
      </c>
      <c r="C232" s="52" t="n"/>
      <c r="D232" s="51" t="inlineStr">
        <is>
          <t>Keepers Heart Irish American Whiskey (750mL/item) - $24.71 2</t>
        </is>
      </c>
      <c r="E232" s="52" t="n">
        <v>750</v>
      </c>
      <c r="F232" s="51">
        <f>TRIM(MID(D232, FIND("$", D232), FIND(" ", D232, FIND("$", D232)) - FIND("$", D232))
)</f>
        <v/>
      </c>
      <c r="G232" s="53" t="n">
        <v>29.57</v>
      </c>
      <c r="H232" s="54">
        <f>SUM(E232/G232)</f>
        <v/>
      </c>
      <c r="I232" s="104">
        <f>SUM(F232/H232)</f>
        <v/>
      </c>
      <c r="J232" s="105">
        <f>SUM(4*I232)</f>
        <v/>
      </c>
      <c r="K232" s="100">
        <f>SUM(I232*1.5)</f>
        <v/>
      </c>
      <c r="L232" s="101">
        <f>SUM(K232*4)</f>
        <v/>
      </c>
      <c r="M232" s="102">
        <f>SUM(I232*2)</f>
        <v/>
      </c>
      <c r="N232" s="103">
        <f>SUM(M232*4)</f>
        <v/>
      </c>
    </row>
    <row r="233" ht="15.75" customHeight="1">
      <c r="A233" s="35" t="n">
        <v>288</v>
      </c>
      <c r="B233" s="49">
        <f>IF(OR(ISNUMBER(SEARCH("Tequila", C233)), ISNUMBER(SEARCH("Tequila", D233))), "Tequila",
IF(OR(ISNUMBER(SEARCH("Rum", C233)), ISNUMBER(SEARCH("Rum", D233))), "Rum",
IF(OR(ISNUMBER(SEARCH("Whiskey", C233)), ISNUMBER(SEARCH("Whiskey", D233))), "Whiskey",
IF(OR(ISNUMBER(SEARCH("Gin", C233)), ISNUMBER(SEARCH("Gin", D233))), "Gin",
IF(OR(ISNUMBER(SEARCH("Liqueur", C233)), ISNUMBER(SEARCH("Liqueur", D233))), "Liqueur", "")))))</f>
        <v/>
      </c>
      <c r="C233" s="52" t="n"/>
      <c r="D233" s="51" t="n"/>
      <c r="E233" s="52" t="n"/>
      <c r="F233" s="51" t="n"/>
      <c r="G233" s="53" t="n"/>
      <c r="H233" s="54" t="n"/>
      <c r="I233" s="104" t="n"/>
      <c r="J233" s="105" t="n"/>
      <c r="K233" s="100" t="n"/>
      <c r="L233" s="101" t="n"/>
      <c r="M233" s="102" t="n"/>
      <c r="N233" s="103" t="n"/>
    </row>
    <row r="234" ht="15.75" customHeight="1">
      <c r="A234" s="35" t="n">
        <v>327</v>
      </c>
      <c r="B234" s="49">
        <f>IF(OR(ISNUMBER(SEARCH("Tequila", C234)), ISNUMBER(SEARCH("Tequila", D234))), "Tequila",
IF(OR(ISNUMBER(SEARCH("Rum", C234)), ISNUMBER(SEARCH("Rum", D234))), "Rum",
IF(OR(ISNUMBER(SEARCH("Whiskey", C234)), ISNUMBER(SEARCH("Whiskey", D234))), "Whiskey",
IF(OR(ISNUMBER(SEARCH("Gin", C234)), ISNUMBER(SEARCH("Gin", D234))), "Gin",
IF(OR(ISNUMBER(SEARCH("Liqueur", C234)), ISNUMBER(SEARCH("Liqueur", D234))), "Liqueur", "")))))</f>
        <v/>
      </c>
      <c r="C234" s="52" t="n"/>
      <c r="D234" s="51" t="inlineStr">
        <is>
          <t>Knob Creek Whiskey NFD (750mL/item) - $37.76 2</t>
        </is>
      </c>
      <c r="E234" s="52" t="n">
        <v>750</v>
      </c>
      <c r="F234" s="51">
        <f>TRIM(MID(D234, FIND("$", D234), FIND(" ", D234, FIND("$", D234)) - FIND("$", D234))
)</f>
        <v/>
      </c>
      <c r="G234" s="53" t="n">
        <v>29.57</v>
      </c>
      <c r="H234" s="54">
        <f>SUM(E234/G234)</f>
        <v/>
      </c>
      <c r="I234" s="104">
        <f>SUM(F234/H234)</f>
        <v/>
      </c>
      <c r="J234" s="105">
        <f>SUM(4*I234)</f>
        <v/>
      </c>
      <c r="K234" s="100">
        <f>SUM(I234*1.5)</f>
        <v/>
      </c>
      <c r="L234" s="101">
        <f>SUM(K234*4)</f>
        <v/>
      </c>
      <c r="M234" s="102">
        <f>SUM(I234*2)</f>
        <v/>
      </c>
      <c r="N234" s="103">
        <f>SUM(M234*4)</f>
        <v/>
      </c>
    </row>
    <row r="235" ht="15.75" customHeight="1">
      <c r="A235" s="35" t="n">
        <v>144</v>
      </c>
      <c r="B235" s="49">
        <f>IF(OR(ISNUMBER(SEARCH("Tequila", C235)), ISNUMBER(SEARCH("Tequila", D235))), "Tequila",
IF(OR(ISNUMBER(SEARCH("Rum", C235)), ISNUMBER(SEARCH("Rum", D235))), "Rum",
IF(OR(ISNUMBER(SEARCH("Whiskey", C235)), ISNUMBER(SEARCH("Whiskey", D235))), "Whiskey",
IF(OR(ISNUMBER(SEARCH("Gin", C235)), ISNUMBER(SEARCH("Gin", D235))), "Gin",
IF(OR(ISNUMBER(SEARCH("Liqueur", C235)), ISNUMBER(SEARCH("Liqueur", D235))), "Liqueur", "")))))</f>
        <v/>
      </c>
      <c r="C235" s="52" t="n"/>
      <c r="D235" s="51" t="inlineStr">
        <is>
          <t>Komos Anejo Reserva Tequila (750mL/item) - $125.19 1</t>
        </is>
      </c>
      <c r="E235" s="52" t="n">
        <v>750</v>
      </c>
      <c r="F235" s="51">
        <f>TRIM(MID(D235, FIND("$", D235), FIND(" ", D235, FIND("$", D235)) - FIND("$", D235))
)</f>
        <v/>
      </c>
      <c r="G235" s="53" t="n">
        <v>29.57</v>
      </c>
      <c r="H235" s="54">
        <f>SUM(E235/G235)</f>
        <v/>
      </c>
      <c r="I235" s="104">
        <f>SUM(F235/H235)</f>
        <v/>
      </c>
      <c r="J235" s="105">
        <f>SUM(4*I235)</f>
        <v/>
      </c>
      <c r="K235" s="100">
        <f>SUM(I235*1.5)</f>
        <v/>
      </c>
      <c r="L235" s="101">
        <f>SUM(K235*4)</f>
        <v/>
      </c>
      <c r="M235" s="102">
        <f>SUM(I235*2)</f>
        <v/>
      </c>
      <c r="N235" s="103">
        <f>SUM(M235*4)</f>
        <v/>
      </c>
    </row>
    <row r="236" ht="15.75" customHeight="1">
      <c r="A236" s="35" t="n">
        <v>145</v>
      </c>
      <c r="B236" s="49">
        <f>IF(OR(ISNUMBER(SEARCH("Tequila", C236)), ISNUMBER(SEARCH("Tequila", D236))), "Tequila",
IF(OR(ISNUMBER(SEARCH("Rum", C236)), ISNUMBER(SEARCH("Rum", D236))), "Rum",
IF(OR(ISNUMBER(SEARCH("Whiskey", C236)), ISNUMBER(SEARCH("Whiskey", D236))), "Whiskey",
IF(OR(ISNUMBER(SEARCH("Gin", C236)), ISNUMBER(SEARCH("Gin", D236))), "Gin",
IF(OR(ISNUMBER(SEARCH("Liqueur", C236)), ISNUMBER(SEARCH("Liqueur", D236))), "Liqueur", "")))))</f>
        <v/>
      </c>
      <c r="C236" s="52" t="n"/>
      <c r="D236" s="51" t="inlineStr">
        <is>
          <t>Komos Cristalino Anejo Tequila (750mL/item) - $121.92 1</t>
        </is>
      </c>
      <c r="E236" s="52" t="n">
        <v>750</v>
      </c>
      <c r="F236" s="51">
        <f>TRIM(MID(D236, FIND("$", D236), FIND(" ", D236, FIND("$", D236)) - FIND("$", D236))
)</f>
        <v/>
      </c>
      <c r="G236" s="53" t="n">
        <v>29.57</v>
      </c>
      <c r="H236" s="54">
        <f>SUM(E236/G236)</f>
        <v/>
      </c>
      <c r="I236" s="104">
        <f>SUM(F236/H236)</f>
        <v/>
      </c>
      <c r="J236" s="105">
        <f>SUM(4*I236)</f>
        <v/>
      </c>
      <c r="K236" s="100">
        <f>SUM(I236*1.5)</f>
        <v/>
      </c>
      <c r="L236" s="101">
        <f>SUM(K236*4)</f>
        <v/>
      </c>
      <c r="M236" s="102">
        <f>SUM(I236*2)</f>
        <v/>
      </c>
      <c r="N236" s="103">
        <f>SUM(M236*4)</f>
        <v/>
      </c>
    </row>
    <row r="237" ht="15.75" customHeight="1">
      <c r="A237" s="35" t="n">
        <v>146</v>
      </c>
      <c r="B237" s="49">
        <f>IF(OR(ISNUMBER(SEARCH("Tequila", C237)), ISNUMBER(SEARCH("Tequila", D237))), "Tequila",
IF(OR(ISNUMBER(SEARCH("Rum", C237)), ISNUMBER(SEARCH("Rum", D237))), "Rum",
IF(OR(ISNUMBER(SEARCH("Whiskey", C237)), ISNUMBER(SEARCH("Whiskey", D237))), "Whiskey",
IF(OR(ISNUMBER(SEARCH("Gin", C237)), ISNUMBER(SEARCH("Gin", D237))), "Gin",
IF(OR(ISNUMBER(SEARCH("Liqueur", C237)), ISNUMBER(SEARCH("Liqueur", D237))), "Liqueur", "")))))</f>
        <v/>
      </c>
      <c r="C237" s="52" t="n"/>
      <c r="D237" s="51" t="inlineStr">
        <is>
          <t>Komos Reposado Rosa Tequila (750mL/item) - $104.77 1</t>
        </is>
      </c>
      <c r="E237" s="52" t="n">
        <v>750</v>
      </c>
      <c r="F237" s="51">
        <f>TRIM(MID(D237, FIND("$", D237), FIND(" ", D237, FIND("$", D237)) - FIND("$", D237))
)</f>
        <v/>
      </c>
      <c r="G237" s="53" t="n">
        <v>29.57</v>
      </c>
      <c r="H237" s="54">
        <f>SUM(E237/G237)</f>
        <v/>
      </c>
      <c r="I237" s="104">
        <f>SUM(F237/H237)</f>
        <v/>
      </c>
      <c r="J237" s="105">
        <f>SUM(4*I237)</f>
        <v/>
      </c>
      <c r="K237" s="100">
        <f>SUM(I237*1.5)</f>
        <v/>
      </c>
      <c r="L237" s="101">
        <f>SUM(K237*4)</f>
        <v/>
      </c>
      <c r="M237" s="102">
        <f>SUM(I237*2)</f>
        <v/>
      </c>
      <c r="N237" s="103">
        <f>SUM(M237*4)</f>
        <v/>
      </c>
    </row>
    <row r="238" ht="15.75" customHeight="1">
      <c r="A238" s="35" t="n">
        <v>269</v>
      </c>
      <c r="B238" s="49">
        <f>IF(OR(ISNUMBER(SEARCH("Tequila", C238)), ISNUMBER(SEARCH("Tequila", D238))), "Tequila",
IF(OR(ISNUMBER(SEARCH("Rum", C238)), ISNUMBER(SEARCH("Rum", D238))), "Rum",
IF(OR(ISNUMBER(SEARCH("Whiskey", C238)), ISNUMBER(SEARCH("Whiskey", D238))), "Whiskey",
IF(OR(ISNUMBER(SEARCH("Gin", C238)), ISNUMBER(SEARCH("Gin", D238))), "Gin",
IF(OR(ISNUMBER(SEARCH("Liqueur", C238)), ISNUMBER(SEARCH("Liqueur", D238))), "Liqueur", "")))))</f>
        <v/>
      </c>
      <c r="C238" s="52" t="n"/>
      <c r="D238" s="51" t="n"/>
      <c r="E238" s="52" t="n"/>
      <c r="F238" s="51" t="n"/>
      <c r="G238" s="53" t="n"/>
      <c r="H238" s="54" t="n"/>
      <c r="I238" s="104" t="n"/>
      <c r="J238" s="105" t="n"/>
      <c r="K238" s="100" t="n"/>
      <c r="L238" s="101" t="n"/>
      <c r="M238" s="102" t="n"/>
      <c r="N238" s="103" t="n"/>
    </row>
    <row r="239" ht="15.75" customHeight="1">
      <c r="A239" s="35" t="n">
        <v>253</v>
      </c>
      <c r="B239" s="49">
        <f>IF(OR(ISNUMBER(SEARCH("Tequila", C239)), ISNUMBER(SEARCH("Tequila", D239))), "Tequila",
IF(OR(ISNUMBER(SEARCH("Rum", C239)), ISNUMBER(SEARCH("Rum", D239))), "Rum",
IF(OR(ISNUMBER(SEARCH("Whiskey", C239)), ISNUMBER(SEARCH("Whiskey", D239))), "Whiskey",
IF(OR(ISNUMBER(SEARCH("Gin", C239)), ISNUMBER(SEARCH("Gin", D239))), "Gin",
IF(OR(ISNUMBER(SEARCH("Liqueur", C239)), ISNUMBER(SEARCH("Liqueur", D239))), "Liqueur", "")))))</f>
        <v/>
      </c>
      <c r="C239" s="52" t="n"/>
      <c r="D239" s="51" t="n"/>
      <c r="E239" s="52" t="n"/>
      <c r="F239" s="51" t="n"/>
      <c r="G239" s="53" t="n"/>
      <c r="H239" s="54" t="n"/>
      <c r="I239" s="104" t="n"/>
      <c r="J239" s="105" t="n"/>
      <c r="K239" s="100" t="n"/>
      <c r="L239" s="101" t="n"/>
      <c r="M239" s="102" t="n"/>
      <c r="N239" s="103" t="n"/>
    </row>
    <row r="240" ht="15.75" customHeight="1">
      <c r="A240" s="35" t="n">
        <v>306</v>
      </c>
      <c r="B240" s="49">
        <f>IF(OR(ISNUMBER(SEARCH("Tequila", C240)), ISNUMBER(SEARCH("Tequila", D240))), "Tequila",
IF(OR(ISNUMBER(SEARCH("Rum", C240)), ISNUMBER(SEARCH("Rum", D240))), "Rum",
IF(OR(ISNUMBER(SEARCH("Whiskey", C240)), ISNUMBER(SEARCH("Whiskey", D240))), "Whiskey",
IF(OR(ISNUMBER(SEARCH("Gin", C240)), ISNUMBER(SEARCH("Gin", D240))), "Gin",
IF(OR(ISNUMBER(SEARCH("Liqueur", C240)), ISNUMBER(SEARCH("Liqueur", D240))), "Liqueur", "")))))</f>
        <v/>
      </c>
      <c r="C240" s="52" t="n"/>
      <c r="D240" s="51" t="inlineStr">
        <is>
          <t>La Venenosa Etnica Tutsi Joven Tequila (750mL/item) - $151.50 1</t>
        </is>
      </c>
      <c r="E240" s="52" t="n">
        <v>750</v>
      </c>
      <c r="F240" s="51">
        <f>TRIM(MID(D240, FIND("$", D240), FIND(" ", D240, FIND("$", D240)) - FIND("$", D240))
)</f>
        <v/>
      </c>
      <c r="G240" s="53" t="n">
        <v>29.57</v>
      </c>
      <c r="H240" s="54">
        <f>SUM(E240/G240)</f>
        <v/>
      </c>
      <c r="I240" s="104">
        <f>SUM(F240/H240)</f>
        <v/>
      </c>
      <c r="J240" s="105">
        <f>SUM(4*I240)</f>
        <v/>
      </c>
      <c r="K240" s="100">
        <f>SUM(I240*1.5)</f>
        <v/>
      </c>
      <c r="L240" s="101">
        <f>SUM(K240*4)</f>
        <v/>
      </c>
      <c r="M240" s="102">
        <f>SUM(I240*2)</f>
        <v/>
      </c>
      <c r="N240" s="103">
        <f>SUM(M240*4)</f>
        <v/>
      </c>
    </row>
    <row r="241" ht="15.75" customHeight="1">
      <c r="A241" s="59" t="n"/>
      <c r="B241" s="49">
        <f>IF(OR(ISNUMBER(SEARCH("Tequila", C241)), ISNUMBER(SEARCH("Tequila", D241))), "Tequila",
IF(OR(ISNUMBER(SEARCH("Rum", C241)), ISNUMBER(SEARCH("Rum", D241))), "Rum",
IF(OR(ISNUMBER(SEARCH("Whiskey", C241)), ISNUMBER(SEARCH("Whiskey", D241))), "Whiskey",
IF(OR(ISNUMBER(SEARCH("Gin", C241)), ISNUMBER(SEARCH("Gin", D241))), "Gin",
IF(OR(ISNUMBER(SEARCH("Liqueur", C241)), ISNUMBER(SEARCH("Liqueur", D241))), "Liqueur", "")))))</f>
        <v/>
      </c>
      <c r="C241" s="52" t="n"/>
      <c r="D241" s="60" t="inlineStr">
        <is>
          <t>La Venenosa Sierra del Tigre Raicilla Tequila (750mL) $92.40 1</t>
        </is>
      </c>
      <c r="E241" s="52" t="n">
        <v>750</v>
      </c>
      <c r="F241" s="51">
        <f>TRIM(MID(D241, FIND("$", D241), FIND(" ", D241, FIND("$", D241)) - FIND("$", D241))
)</f>
        <v/>
      </c>
      <c r="G241" s="53" t="n">
        <v>29.57</v>
      </c>
      <c r="H241" s="54">
        <f>SUM(E241/G241)</f>
        <v/>
      </c>
      <c r="I241" s="104">
        <f>SUM(F241/H241)</f>
        <v/>
      </c>
      <c r="J241" s="105">
        <f>SUM(4*I241)</f>
        <v/>
      </c>
      <c r="K241" s="100">
        <f>SUM(I241*1.5)</f>
        <v/>
      </c>
      <c r="L241" s="101">
        <f>SUM(K241*4)</f>
        <v/>
      </c>
      <c r="M241" s="102">
        <f>SUM(I241*2)</f>
        <v/>
      </c>
      <c r="N241" s="103">
        <f>SUM(M241*4)</f>
        <v/>
      </c>
    </row>
    <row r="242" ht="15.75" customHeight="1">
      <c r="A242" s="35" t="n">
        <v>59</v>
      </c>
      <c r="B242" s="49">
        <f>IF(OR(ISNUMBER(SEARCH("Tequila", C242)), ISNUMBER(SEARCH("Tequila", D242))), "Tequila",
IF(OR(ISNUMBER(SEARCH("Rum", C242)), ISNUMBER(SEARCH("Rum", D242))), "Rum",
IF(OR(ISNUMBER(SEARCH("Whiskey", C242)), ISNUMBER(SEARCH("Whiskey", D242))), "Whiskey",
IF(OR(ISNUMBER(SEARCH("Gin", C242)), ISNUMBER(SEARCH("Gin", D242))), "Gin",
IF(OR(ISNUMBER(SEARCH("Liqueur", C242)), ISNUMBER(SEARCH("Liqueur", D242))), "Liqueur", "")))))</f>
        <v/>
      </c>
      <c r="C242" s="52" t="n"/>
      <c r="D242" s="51" t="inlineStr">
        <is>
          <t>Lagrimas del Valle Plata Tequila (750mL/item) - $47.78 2</t>
        </is>
      </c>
      <c r="E242" s="52" t="n">
        <v>750</v>
      </c>
      <c r="F242" s="51">
        <f>TRIM(MID(D242, FIND("$", D242), FIND(" ", D242, FIND("$", D242)) - FIND("$", D242))
)</f>
        <v/>
      </c>
      <c r="G242" s="53" t="n">
        <v>29.57</v>
      </c>
      <c r="H242" s="54">
        <f>SUM(E242/G242)</f>
        <v/>
      </c>
      <c r="I242" s="104">
        <f>SUM(F242/H242)</f>
        <v/>
      </c>
      <c r="J242" s="105">
        <f>SUM(4*I242)</f>
        <v/>
      </c>
      <c r="K242" s="100">
        <f>SUM(I242*1.5)</f>
        <v/>
      </c>
      <c r="L242" s="101">
        <f>SUM(K242*4)</f>
        <v/>
      </c>
      <c r="M242" s="102">
        <f>SUM(I242*2)</f>
        <v/>
      </c>
      <c r="N242" s="103">
        <f>SUM(M242*4)</f>
        <v/>
      </c>
    </row>
    <row r="243" ht="15.75" customHeight="1">
      <c r="A243" s="35" t="n">
        <v>58</v>
      </c>
      <c r="B243" s="49">
        <f>IF(OR(ISNUMBER(SEARCH("Tequila", C243)), ISNUMBER(SEARCH("Tequila", D243))), "Tequila",
IF(OR(ISNUMBER(SEARCH("Rum", C243)), ISNUMBER(SEARCH("Rum", D243))), "Rum",
IF(OR(ISNUMBER(SEARCH("Whiskey", C243)), ISNUMBER(SEARCH("Whiskey", D243))), "Whiskey",
IF(OR(ISNUMBER(SEARCH("Gin", C243)), ISNUMBER(SEARCH("Gin", D243))), "Gin",
IF(OR(ISNUMBER(SEARCH("Liqueur", C243)), ISNUMBER(SEARCH("Liqueur", D243))), "Liqueur", "")))))</f>
        <v/>
      </c>
      <c r="C243" s="52" t="n"/>
      <c r="D243" s="51" t="inlineStr">
        <is>
          <t>Lagrimas del Valle Reposado Tequila (750mL/item) - $52.50 2</t>
        </is>
      </c>
      <c r="E243" s="52" t="n">
        <v>750</v>
      </c>
      <c r="F243" s="51">
        <f>TRIM(MID(D243, FIND("$", D243), FIND(" ", D243, FIND("$", D243)) - FIND("$", D243))
)</f>
        <v/>
      </c>
      <c r="G243" s="53" t="n">
        <v>29.57</v>
      </c>
      <c r="H243" s="54">
        <f>SUM(E243/G243)</f>
        <v/>
      </c>
      <c r="I243" s="104">
        <f>SUM(F243/H243)</f>
        <v/>
      </c>
      <c r="J243" s="105">
        <f>SUM(4*I243)</f>
        <v/>
      </c>
      <c r="K243" s="100">
        <f>SUM(I243*1.5)</f>
        <v/>
      </c>
      <c r="L243" s="101">
        <f>SUM(K243*4)</f>
        <v/>
      </c>
      <c r="M243" s="102">
        <f>SUM(I243*2)</f>
        <v/>
      </c>
      <c r="N243" s="103">
        <f>SUM(M243*4)</f>
        <v/>
      </c>
    </row>
    <row r="244" ht="15.75" customHeight="1">
      <c r="A244" s="35" t="n">
        <v>270</v>
      </c>
      <c r="B244" s="49">
        <f>IF(OR(ISNUMBER(SEARCH("Tequila", C244)), ISNUMBER(SEARCH("Tequila", D244))), "Tequila",
IF(OR(ISNUMBER(SEARCH("Rum", C244)), ISNUMBER(SEARCH("Rum", D244))), "Rum",
IF(OR(ISNUMBER(SEARCH("Whiskey", C244)), ISNUMBER(SEARCH("Whiskey", D244))), "Whiskey",
IF(OR(ISNUMBER(SEARCH("Gin", C244)), ISNUMBER(SEARCH("Gin", D244))), "Gin",
IF(OR(ISNUMBER(SEARCH("Liqueur", C244)), ISNUMBER(SEARCH("Liqueur", D244))), "Liqueur", "")))))</f>
        <v/>
      </c>
      <c r="C244" s="52" t="n"/>
      <c r="D244" s="51" t="n"/>
      <c r="E244" s="52" t="n"/>
      <c r="F244" s="51" t="n"/>
      <c r="G244" s="53" t="n"/>
      <c r="H244" s="54" t="n"/>
      <c r="I244" s="104" t="n"/>
      <c r="J244" s="105" t="n"/>
      <c r="K244" s="100" t="n"/>
      <c r="L244" s="101" t="n"/>
      <c r="M244" s="102" t="n"/>
      <c r="N244" s="103" t="n"/>
    </row>
    <row r="245" ht="15.75" customHeight="1">
      <c r="A245" s="35" t="n">
        <v>271</v>
      </c>
      <c r="B245" s="49">
        <f>IF(OR(ISNUMBER(SEARCH("Tequila", C245)), ISNUMBER(SEARCH("Tequila", D245))), "Tequila",
IF(OR(ISNUMBER(SEARCH("Rum", C245)), ISNUMBER(SEARCH("Rum", D245))), "Rum",
IF(OR(ISNUMBER(SEARCH("Whiskey", C245)), ISNUMBER(SEARCH("Whiskey", D245))), "Whiskey",
IF(OR(ISNUMBER(SEARCH("Gin", C245)), ISNUMBER(SEARCH("Gin", D245))), "Gin",
IF(OR(ISNUMBER(SEARCH("Liqueur", C245)), ISNUMBER(SEARCH("Liqueur", D245))), "Liqueur", "")))))</f>
        <v/>
      </c>
      <c r="C245" s="52" t="n"/>
      <c r="D245" s="51" t="n"/>
      <c r="E245" s="52" t="n"/>
      <c r="F245" s="51" t="n"/>
      <c r="G245" s="53" t="n"/>
      <c r="H245" s="54" t="n"/>
      <c r="I245" s="104" t="n"/>
      <c r="J245" s="105" t="n"/>
      <c r="K245" s="100" t="n"/>
      <c r="L245" s="101" t="n"/>
      <c r="M245" s="102" t="n"/>
      <c r="N245" s="103" t="n"/>
    </row>
    <row r="246" ht="15.75" customHeight="1">
      <c r="A246" s="35" t="n">
        <v>29</v>
      </c>
      <c r="B246" s="49">
        <f>IF(OR(ISNUMBER(SEARCH("Tequila", C246)), ISNUMBER(SEARCH("Tequila", D246))), "Tequila",
IF(OR(ISNUMBER(SEARCH("Rum", C246)), ISNUMBER(SEARCH("Rum", D246))), "Rum",
IF(OR(ISNUMBER(SEARCH("Whiskey", C246)), ISNUMBER(SEARCH("Whiskey", D246))), "Whiskey",
IF(OR(ISNUMBER(SEARCH("Gin", C246)), ISNUMBER(SEARCH("Gin", D246))), "Gin",
IF(OR(ISNUMBER(SEARCH("Liqueur", C246)), ISNUMBER(SEARCH("Liqueur", D246))), "Liqueur", "")))))</f>
        <v/>
      </c>
      <c r="C246" s="52" t="n"/>
      <c r="D246" s="51" t="inlineStr">
        <is>
          <t>Licor 43 Liqueur (750mL/ item) $28.77 2</t>
        </is>
      </c>
      <c r="E246" s="52" t="n">
        <v>750</v>
      </c>
      <c r="F246" s="51">
        <f>TRIM(MID(D246, FIND("$", D246), FIND(" ", D246, FIND("$", D246)) - FIND("$", D246))
)</f>
        <v/>
      </c>
      <c r="G246" s="53" t="n">
        <v>29.57</v>
      </c>
      <c r="H246" s="54">
        <f>SUM(E246/G246)</f>
        <v/>
      </c>
      <c r="I246" s="104">
        <f>SUM(F246/H246)</f>
        <v/>
      </c>
      <c r="J246" s="105">
        <f>SUM(4*I246)</f>
        <v/>
      </c>
      <c r="K246" s="100">
        <f>SUM(I246*1.5)</f>
        <v/>
      </c>
      <c r="L246" s="101">
        <f>SUM(K246*4)</f>
        <v/>
      </c>
      <c r="M246" s="102">
        <f>SUM(I246*2)</f>
        <v/>
      </c>
      <c r="N246" s="103">
        <f>SUM(M246*4)</f>
        <v/>
      </c>
    </row>
    <row r="247" ht="15.75" customHeight="1">
      <c r="A247" s="59" t="n"/>
      <c r="B247" s="49">
        <f>IF(OR(ISNUMBER(SEARCH("Tequila", C247)), ISNUMBER(SEARCH("Tequila", D247))), "Tequila",
IF(OR(ISNUMBER(SEARCH("Rum", C247)), ISNUMBER(SEARCH("Rum", D247))), "Rum",
IF(OR(ISNUMBER(SEARCH("Whiskey", C247)), ISNUMBER(SEARCH("Whiskey", D247))), "Whiskey",
IF(OR(ISNUMBER(SEARCH("Gin", C247)), ISNUMBER(SEARCH("Gin", D247))), "Gin",
IF(OR(ISNUMBER(SEARCH("Liqueur", C247)), ISNUMBER(SEARCH("Liqueur", D247))), "Liqueur", "")))))</f>
        <v/>
      </c>
      <c r="C247" s="52" t="n"/>
      <c r="D247" s="60" t="inlineStr">
        <is>
          <t>Lillet Aperitif Liqueur (750mL) $20.59 1</t>
        </is>
      </c>
      <c r="E247" s="52" t="n">
        <v>750</v>
      </c>
      <c r="F247" s="51">
        <f>TRIM(MID(D247, FIND("$", D247), FIND(" ", D247, FIND("$", D247)) - FIND("$", D247))
)</f>
        <v/>
      </c>
      <c r="G247" s="53" t="n">
        <v>29.57</v>
      </c>
      <c r="H247" s="54">
        <f>SUM(E247/G247)</f>
        <v/>
      </c>
      <c r="I247" s="104">
        <f>SUM(F247/H247)</f>
        <v/>
      </c>
      <c r="J247" s="105">
        <f>SUM(4*I247)</f>
        <v/>
      </c>
      <c r="K247" s="100">
        <f>SUM(I247*1.5)</f>
        <v/>
      </c>
      <c r="L247" s="101">
        <f>SUM(K247*4)</f>
        <v/>
      </c>
      <c r="M247" s="102">
        <f>SUM(I247*2)</f>
        <v/>
      </c>
      <c r="N247" s="103">
        <f>SUM(M247*4)</f>
        <v/>
      </c>
    </row>
    <row r="248" ht="15.75" customHeight="1">
      <c r="A248" s="35" t="n">
        <v>147</v>
      </c>
      <c r="B248" s="49">
        <f>IF(OR(ISNUMBER(SEARCH("Tequila", C248)), ISNUMBER(SEARCH("Tequila", D248))), "Tequila",
IF(OR(ISNUMBER(SEARCH("Rum", C248)), ISNUMBER(SEARCH("Rum", D248))), "Rum",
IF(OR(ISNUMBER(SEARCH("Whiskey", C248)), ISNUMBER(SEARCH("Whiskey", D248))), "Whiskey",
IF(OR(ISNUMBER(SEARCH("Gin", C248)), ISNUMBER(SEARCH("Gin", D248))), "Gin",
IF(OR(ISNUMBER(SEARCH("Liqueur", C248)), ISNUMBER(SEARCH("Liqueur", D248))), "Liqueur", "")))))</f>
        <v/>
      </c>
      <c r="C248" s="50" t="n"/>
      <c r="D248" s="51" t="inlineStr">
        <is>
          <t>Lobos 1707 Extra Anejo Tequila (750mL/item) - $118.47 1</t>
        </is>
      </c>
      <c r="E248" s="52" t="n">
        <v>750</v>
      </c>
      <c r="F248" s="51">
        <f>TRIM(MID(D248, FIND("$", D248), FIND(" ", D248, FIND("$", D248)) - FIND("$", D248))
)</f>
        <v/>
      </c>
      <c r="G248" s="53" t="n">
        <v>29.57</v>
      </c>
      <c r="H248" s="54">
        <f>SUM(E248/G248)</f>
        <v/>
      </c>
      <c r="I248" s="104">
        <f>SUM(F248/H248)</f>
        <v/>
      </c>
      <c r="J248" s="105">
        <f>SUM(4*I248)</f>
        <v/>
      </c>
      <c r="K248" s="100">
        <f>SUM(I248*1.5)</f>
        <v/>
      </c>
      <c r="L248" s="101">
        <f>SUM(K248*4)</f>
        <v/>
      </c>
      <c r="M248" s="102">
        <f>SUM(I248*2)</f>
        <v/>
      </c>
      <c r="N248" s="103">
        <f>SUM(M248*4)</f>
        <v/>
      </c>
    </row>
    <row r="249" ht="15.75" customHeight="1">
      <c r="A249" s="35" t="n">
        <v>148</v>
      </c>
      <c r="B249" s="49">
        <f>IF(OR(ISNUMBER(SEARCH("Tequila", C249)), ISNUMBER(SEARCH("Tequila", D249))), "Tequila",
IF(OR(ISNUMBER(SEARCH("Rum", C249)), ISNUMBER(SEARCH("Rum", D249))), "Rum",
IF(OR(ISNUMBER(SEARCH("Whiskey", C249)), ISNUMBER(SEARCH("Whiskey", D249))), "Whiskey",
IF(OR(ISNUMBER(SEARCH("Gin", C249)), ISNUMBER(SEARCH("Gin", D249))), "Gin",
IF(OR(ISNUMBER(SEARCH("Liqueur", C249)), ISNUMBER(SEARCH("Liqueur", D249))), "Liqueur", "")))))</f>
        <v/>
      </c>
      <c r="C249" s="52" t="n"/>
      <c r="D249" s="51" t="inlineStr">
        <is>
          <t>Lobos 1707 Joven Tequila (750mL/item) - $38.04 1</t>
        </is>
      </c>
      <c r="E249" s="52" t="n">
        <v>750</v>
      </c>
      <c r="F249" s="51">
        <f>TRIM(MID(D249, FIND("$", D249), FIND(" ", D249, FIND("$", D249)) - FIND("$", D249))
)</f>
        <v/>
      </c>
      <c r="G249" s="53" t="n">
        <v>29.57</v>
      </c>
      <c r="H249" s="54">
        <f>SUM(E249/G249)</f>
        <v/>
      </c>
      <c r="I249" s="104">
        <f>SUM(F249/H249)</f>
        <v/>
      </c>
      <c r="J249" s="105">
        <f>SUM(4*I249)</f>
        <v/>
      </c>
      <c r="K249" s="100">
        <f>SUM(I249*1.5)</f>
        <v/>
      </c>
      <c r="L249" s="101">
        <f>SUM(K249*4)</f>
        <v/>
      </c>
      <c r="M249" s="102">
        <f>SUM(I249*2)</f>
        <v/>
      </c>
      <c r="N249" s="103">
        <f>SUM(M249*4)</f>
        <v/>
      </c>
    </row>
    <row r="250" ht="15.75" customHeight="1">
      <c r="A250" s="35" t="n">
        <v>149</v>
      </c>
      <c r="B250" s="49">
        <f>IF(OR(ISNUMBER(SEARCH("Tequila", C250)), ISNUMBER(SEARCH("Tequila", D250))), "Tequila",
IF(OR(ISNUMBER(SEARCH("Rum", C250)), ISNUMBER(SEARCH("Rum", D250))), "Rum",
IF(OR(ISNUMBER(SEARCH("Whiskey", C250)), ISNUMBER(SEARCH("Whiskey", D250))), "Whiskey",
IF(OR(ISNUMBER(SEARCH("Gin", C250)), ISNUMBER(SEARCH("Gin", D250))), "Gin",
IF(OR(ISNUMBER(SEARCH("Liqueur", C250)), ISNUMBER(SEARCH("Liqueur", D250))), "Liqueur", "")))))</f>
        <v/>
      </c>
      <c r="C250" s="52" t="n"/>
      <c r="D250" s="51" t="inlineStr">
        <is>
          <t>Lobos 1707 Reposado Tequila (750mL/item) - $41.32 1</t>
        </is>
      </c>
      <c r="E250" s="52" t="n">
        <v>750</v>
      </c>
      <c r="F250" s="51">
        <f>TRIM(MID(D250, FIND("$", D250), FIND(" ", D250, FIND("$", D250)) - FIND("$", D250))
)</f>
        <v/>
      </c>
      <c r="G250" s="53" t="n">
        <v>29.57</v>
      </c>
      <c r="H250" s="54">
        <f>SUM(E250/G250)</f>
        <v/>
      </c>
      <c r="I250" s="104">
        <f>SUM(F250/H250)</f>
        <v/>
      </c>
      <c r="J250" s="105">
        <f>SUM(4*I250)</f>
        <v/>
      </c>
      <c r="K250" s="100">
        <f>SUM(I250*1.5)</f>
        <v/>
      </c>
      <c r="L250" s="101">
        <f>SUM(K250*4)</f>
        <v/>
      </c>
      <c r="M250" s="102">
        <f>SUM(I250*2)</f>
        <v/>
      </c>
      <c r="N250" s="103">
        <f>SUM(M250*4)</f>
        <v/>
      </c>
    </row>
    <row r="251" ht="15.75" customHeight="1">
      <c r="A251" s="35" t="n">
        <v>286</v>
      </c>
      <c r="B251" s="49">
        <f>IF(OR(ISNUMBER(SEARCH("Tequila", C251)), ISNUMBER(SEARCH("Tequila", D251))), "Tequila",
IF(OR(ISNUMBER(SEARCH("Rum", C251)), ISNUMBER(SEARCH("Rum", D251))), "Rum",
IF(OR(ISNUMBER(SEARCH("Whiskey", C251)), ISNUMBER(SEARCH("Whiskey", D251))), "Whiskey",
IF(OR(ISNUMBER(SEARCH("Gin", C251)), ISNUMBER(SEARCH("Gin", D251))), "Gin",
IF(OR(ISNUMBER(SEARCH("Liqueur", C251)), ISNUMBER(SEARCH("Liqueur", D251))), "Liqueur", "")))))</f>
        <v/>
      </c>
      <c r="C251" s="52" t="n"/>
      <c r="D251" s="51" t="n"/>
      <c r="E251" s="52" t="n"/>
      <c r="F251" s="51" t="n"/>
      <c r="G251" s="53" t="n"/>
      <c r="H251" s="54" t="n"/>
      <c r="I251" s="104" t="n"/>
      <c r="J251" s="105" t="n"/>
      <c r="K251" s="100" t="n"/>
      <c r="L251" s="101" t="n"/>
      <c r="M251" s="102" t="n"/>
      <c r="N251" s="103" t="n"/>
    </row>
    <row r="252" ht="15.75" customHeight="1">
      <c r="A252" s="35" t="n">
        <v>252</v>
      </c>
      <c r="B252" s="49">
        <f>IF(OR(ISNUMBER(SEARCH("Tequila", C252)), ISNUMBER(SEARCH("Tequila", D252))), "Tequila",
IF(OR(ISNUMBER(SEARCH("Rum", C252)), ISNUMBER(SEARCH("Rum", D252))), "Rum",
IF(OR(ISNUMBER(SEARCH("Whiskey", C252)), ISNUMBER(SEARCH("Whiskey", D252))), "Whiskey",
IF(OR(ISNUMBER(SEARCH("Gin", C252)), ISNUMBER(SEARCH("Gin", D252))), "Gin",
IF(OR(ISNUMBER(SEARCH("Liqueur", C252)), ISNUMBER(SEARCH("Liqueur", D252))), "Liqueur", "")))))</f>
        <v/>
      </c>
      <c r="C252" s="52" t="n"/>
      <c r="D252" s="51" t="n"/>
      <c r="E252" s="52" t="n"/>
      <c r="F252" s="51" t="n"/>
      <c r="G252" s="53" t="n"/>
      <c r="H252" s="54" t="n"/>
      <c r="I252" s="104" t="n"/>
      <c r="J252" s="105" t="n"/>
      <c r="K252" s="100" t="n"/>
      <c r="L252" s="101" t="n"/>
      <c r="M252" s="102" t="n"/>
      <c r="N252" s="103" t="n"/>
    </row>
    <row r="253" ht="15.75" customHeight="1">
      <c r="A253" s="35" t="n">
        <v>287</v>
      </c>
      <c r="B253" s="49">
        <f>IF(OR(ISNUMBER(SEARCH("Tequila", C253)), ISNUMBER(SEARCH("Tequila", D253))), "Tequila",
IF(OR(ISNUMBER(SEARCH("Rum", C253)), ISNUMBER(SEARCH("Rum", D253))), "Rum",
IF(OR(ISNUMBER(SEARCH("Whiskey", C253)), ISNUMBER(SEARCH("Whiskey", D253))), "Whiskey",
IF(OR(ISNUMBER(SEARCH("Gin", C253)), ISNUMBER(SEARCH("Gin", D253))), "Gin",
IF(OR(ISNUMBER(SEARCH("Liqueur", C253)), ISNUMBER(SEARCH("Liqueur", D253))), "Liqueur", "")))))</f>
        <v/>
      </c>
      <c r="C253" s="52" t="n"/>
      <c r="D253" s="51" t="n"/>
      <c r="E253" s="52" t="n"/>
      <c r="F253" s="51" t="n"/>
      <c r="G253" s="53" t="n"/>
      <c r="H253" s="54" t="n"/>
      <c r="I253" s="104" t="n"/>
      <c r="J253" s="105" t="n"/>
      <c r="K253" s="100" t="n"/>
      <c r="L253" s="101" t="n"/>
      <c r="M253" s="102" t="n"/>
      <c r="N253" s="103" t="n"/>
    </row>
    <row r="254" ht="15.75" customHeight="1">
      <c r="A254" s="35" t="n">
        <v>28</v>
      </c>
      <c r="B254" s="49">
        <f>IF(OR(ISNUMBER(SEARCH("Tequila", C254)), ISNUMBER(SEARCH("Tequila", D254))), "Tequila",
IF(OR(ISNUMBER(SEARCH("Rum", C254)), ISNUMBER(SEARCH("Rum", D254))), "Rum",
IF(OR(ISNUMBER(SEARCH("Whiskey", C254)), ISNUMBER(SEARCH("Whiskey", D254))), "Whiskey",
IF(OR(ISNUMBER(SEARCH("Gin", C254)), ISNUMBER(SEARCH("Gin", D254))), "Gin",
IF(OR(ISNUMBER(SEARCH("Liqueur", C254)), ISNUMBER(SEARCH("Liqueur", D254))), "Liqueur", "")))))</f>
        <v/>
      </c>
      <c r="C254" s="52" t="n"/>
      <c r="D254" s="51" t="inlineStr">
        <is>
          <t>Lucano Amaro Liqueur (750mL / item) $27.14 2</t>
        </is>
      </c>
      <c r="E254" s="52" t="n">
        <v>750</v>
      </c>
      <c r="F254" s="51">
        <f>TRIM(MID(D254, FIND("$", D254), FIND(" ", D254, FIND("$", D254)) - FIND("$", D254))
)</f>
        <v/>
      </c>
      <c r="G254" s="53" t="n">
        <v>29.57</v>
      </c>
      <c r="H254" s="54">
        <f>SUM(E254/G254)</f>
        <v/>
      </c>
      <c r="I254" s="104">
        <f>SUM(F254/H254)</f>
        <v/>
      </c>
      <c r="J254" s="105">
        <f>SUM(4*I254)</f>
        <v/>
      </c>
      <c r="K254" s="100">
        <f>SUM(I254*1.5)</f>
        <v/>
      </c>
      <c r="L254" s="101">
        <f>SUM(K254*4)</f>
        <v/>
      </c>
      <c r="M254" s="102">
        <f>SUM(I254*2)</f>
        <v/>
      </c>
      <c r="N254" s="103">
        <f>SUM(M254*4)</f>
        <v/>
      </c>
    </row>
    <row r="255" ht="15.75" customHeight="1">
      <c r="A255" s="35" t="n">
        <v>27</v>
      </c>
      <c r="B255" s="49">
        <f>IF(OR(ISNUMBER(SEARCH("Tequila", C255)), ISNUMBER(SEARCH("Tequila", D255))), "Tequila",
IF(OR(ISNUMBER(SEARCH("Rum", C255)), ISNUMBER(SEARCH("Rum", D255))), "Rum",
IF(OR(ISNUMBER(SEARCH("Whiskey", C255)), ISNUMBER(SEARCH("Whiskey", D255))), "Whiskey",
IF(OR(ISNUMBER(SEARCH("Gin", C255)), ISNUMBER(SEARCH("Gin", D255))), "Gin",
IF(OR(ISNUMBER(SEARCH("Liqueur", C255)), ISNUMBER(SEARCH("Liqueur", D255))), "Liqueur", "")))))</f>
        <v/>
      </c>
      <c r="C255" s="52" t="n"/>
      <c r="D255" s="51" t="inlineStr">
        <is>
          <t>Luxardo Amaretto Liqueur (750mL/ item) $29.59 2</t>
        </is>
      </c>
      <c r="E255" s="52" t="n">
        <v>750</v>
      </c>
      <c r="F255" s="51">
        <f>TRIM(MID(D255, FIND("$", D255), FIND(" ", D255, FIND("$", D255)) - FIND("$", D255))
)</f>
        <v/>
      </c>
      <c r="G255" s="53" t="n">
        <v>29.57</v>
      </c>
      <c r="H255" s="54">
        <f>SUM(E255/G255)</f>
        <v/>
      </c>
      <c r="I255" s="104">
        <f>SUM(F255/H255)</f>
        <v/>
      </c>
      <c r="J255" s="105">
        <f>SUM(4*I255)</f>
        <v/>
      </c>
      <c r="K255" s="100">
        <f>SUM(I255*1.5)</f>
        <v/>
      </c>
      <c r="L255" s="101">
        <f>SUM(K255*4)</f>
        <v/>
      </c>
      <c r="M255" s="102">
        <f>SUM(I255*2)</f>
        <v/>
      </c>
      <c r="N255" s="103">
        <f>SUM(M255*4)</f>
        <v/>
      </c>
    </row>
    <row r="256" ht="15.75" customHeight="1">
      <c r="A256" s="35" t="n">
        <v>26</v>
      </c>
      <c r="B256" s="49">
        <f>IF(OR(ISNUMBER(SEARCH("Tequila", C256)), ISNUMBER(SEARCH("Tequila", D256))), "Tequila",
IF(OR(ISNUMBER(SEARCH("Rum", C256)), ISNUMBER(SEARCH("Rum", D256))), "Rum",
IF(OR(ISNUMBER(SEARCH("Whiskey", C256)), ISNUMBER(SEARCH("Whiskey", D256))), "Whiskey",
IF(OR(ISNUMBER(SEARCH("Gin", C256)), ISNUMBER(SEARCH("Gin", D256))), "Gin",
IF(OR(ISNUMBER(SEARCH("Liqueur", C256)), ISNUMBER(SEARCH("Liqueur", D256))), "Liqueur", "")))))</f>
        <v/>
      </c>
      <c r="C256" s="52" t="n"/>
      <c r="D256" s="51" t="inlineStr">
        <is>
          <t>Luxardo Express0 Liqueur (750ML/ item) $21.42 2</t>
        </is>
      </c>
      <c r="E256" s="52" t="n">
        <v>750</v>
      </c>
      <c r="F256" s="51">
        <f>TRIM(MID(D256, FIND("$", D256), FIND(" ", D256, FIND("$", D256)) - FIND("$", D256))
)</f>
        <v/>
      </c>
      <c r="G256" s="53" t="n">
        <v>29.57</v>
      </c>
      <c r="H256" s="54">
        <f>SUM(E256/G256)</f>
        <v/>
      </c>
      <c r="I256" s="104">
        <f>SUM(F256/H256)</f>
        <v/>
      </c>
      <c r="J256" s="105">
        <f>SUM(4*I256)</f>
        <v/>
      </c>
      <c r="K256" s="100">
        <f>SUM(I256*1.5)</f>
        <v/>
      </c>
      <c r="L256" s="101">
        <f>SUM(K256*4)</f>
        <v/>
      </c>
      <c r="M256" s="102">
        <f>SUM(I256*2)</f>
        <v/>
      </c>
      <c r="N256" s="103">
        <f>SUM(M256*4)</f>
        <v/>
      </c>
    </row>
    <row r="257" ht="15.75" customHeight="1">
      <c r="A257" s="35" t="n">
        <v>25</v>
      </c>
      <c r="B257" s="49">
        <f>IF(OR(ISNUMBER(SEARCH("Tequila", C257)), ISNUMBER(SEARCH("Tequila", D257))), "Tequila",
IF(OR(ISNUMBER(SEARCH("Rum", C257)), ISNUMBER(SEARCH("Rum", D257))), "Rum",
IF(OR(ISNUMBER(SEARCH("Whiskey", C257)), ISNUMBER(SEARCH("Whiskey", D257))), "Whiskey",
IF(OR(ISNUMBER(SEARCH("Gin", C257)), ISNUMBER(SEARCH("Gin", D257))), "Gin",
IF(OR(ISNUMBER(SEARCH("Liqueur", C257)), ISNUMBER(SEARCH("Liqueur", D257))), "Liqueur", "")))))</f>
        <v/>
      </c>
      <c r="C257" s="52" t="n"/>
      <c r="D257" s="51" t="inlineStr">
        <is>
          <t>Luxardo Marachino Cherry Liquour (750ML / item) $31.23 2</t>
        </is>
      </c>
      <c r="E257" s="52" t="n">
        <v>750</v>
      </c>
      <c r="F257" s="51">
        <f>TRIM(MID(D257, FIND("$", D257), FIND(" ", D257, FIND("$", D257)) - FIND("$", D257))
)</f>
        <v/>
      </c>
      <c r="G257" s="53" t="n">
        <v>29.57</v>
      </c>
      <c r="H257" s="54">
        <f>SUM(E257/G257)</f>
        <v/>
      </c>
      <c r="I257" s="104">
        <f>SUM(F257/H257)</f>
        <v/>
      </c>
      <c r="J257" s="105">
        <f>SUM(4*I257)</f>
        <v/>
      </c>
      <c r="K257" s="100">
        <f>SUM(I257*1.5)</f>
        <v/>
      </c>
      <c r="L257" s="101">
        <f>SUM(K257*4)</f>
        <v/>
      </c>
      <c r="M257" s="102">
        <f>SUM(I257*2)</f>
        <v/>
      </c>
      <c r="N257" s="103">
        <f>SUM(M257*4)</f>
        <v/>
      </c>
    </row>
    <row r="258" ht="15.75" customHeight="1">
      <c r="A258" s="35" t="n">
        <v>272</v>
      </c>
      <c r="B258" s="49">
        <f>IF(OR(ISNUMBER(SEARCH("Tequila", C258)), ISNUMBER(SEARCH("Tequila", D258))), "Tequila",
IF(OR(ISNUMBER(SEARCH("Rum", C258)), ISNUMBER(SEARCH("Rum", D258))), "Rum",
IF(OR(ISNUMBER(SEARCH("Whiskey", C258)), ISNUMBER(SEARCH("Whiskey", D258))), "Whiskey",
IF(OR(ISNUMBER(SEARCH("Gin", C258)), ISNUMBER(SEARCH("Gin", D258))), "Gin",
IF(OR(ISNUMBER(SEARCH("Liqueur", C258)), ISNUMBER(SEARCH("Liqueur", D258))), "Liqueur", "")))))</f>
        <v/>
      </c>
      <c r="C258" s="52" t="n"/>
      <c r="D258" s="51" t="n"/>
      <c r="E258" s="52" t="n"/>
      <c r="F258" s="51" t="n"/>
      <c r="G258" s="53" t="n"/>
      <c r="H258" s="54" t="n"/>
      <c r="I258" s="104" t="n"/>
      <c r="J258" s="105" t="n"/>
      <c r="K258" s="100" t="n"/>
      <c r="L258" s="101" t="n"/>
      <c r="M258" s="102" t="n"/>
      <c r="N258" s="103" t="n"/>
    </row>
    <row r="259" ht="15.75" customHeight="1">
      <c r="A259" s="35" t="n">
        <v>331</v>
      </c>
      <c r="B259" s="49">
        <f>IF(OR(ISNUMBER(SEARCH("Tequila", C259)), ISNUMBER(SEARCH("Tequila", D259))), "Tequila",
IF(OR(ISNUMBER(SEARCH("Rum", C259)), ISNUMBER(SEARCH("Rum", D259))), "Rum",
IF(OR(ISNUMBER(SEARCH("Whiskey", C259)), ISNUMBER(SEARCH("Whiskey", D259))), "Whiskey",
IF(OR(ISNUMBER(SEARCH("Gin", C259)), ISNUMBER(SEARCH("Gin", D259))), "Gin",
IF(OR(ISNUMBER(SEARCH("Liqueur", C259)), ISNUMBER(SEARCH("Liqueur", D259))), "Liqueur", "")))))</f>
        <v/>
      </c>
      <c r="C259" s="52" t="n"/>
      <c r="D259" s="51" t="inlineStr">
        <is>
          <t>Macallan 12yr Sherry Oak Highlands Single Malt Scotch Whiskey (750mL/item) - $84.35 1</t>
        </is>
      </c>
      <c r="E259" s="52" t="n">
        <v>750</v>
      </c>
      <c r="F259" s="51">
        <f>TRIM(MID(D259, FIND("$", D259), FIND(" ", D259, FIND("$", D259)) - FIND("$", D259))
)</f>
        <v/>
      </c>
      <c r="G259" s="53" t="n">
        <v>29.57</v>
      </c>
      <c r="H259" s="54">
        <f>SUM(E259/G259)</f>
        <v/>
      </c>
      <c r="I259" s="104">
        <f>SUM(F259/H259)</f>
        <v/>
      </c>
      <c r="J259" s="105">
        <f>SUM(4*I259)</f>
        <v/>
      </c>
      <c r="K259" s="100">
        <f>SUM(I259*1.5)</f>
        <v/>
      </c>
      <c r="L259" s="101">
        <f>SUM(K259*4)</f>
        <v/>
      </c>
      <c r="M259" s="102">
        <f>SUM(I259*2)</f>
        <v/>
      </c>
      <c r="N259" s="103">
        <f>SUM(M259*4)</f>
        <v/>
      </c>
    </row>
    <row r="260" ht="15.75" customHeight="1">
      <c r="A260" s="35" t="n">
        <v>242</v>
      </c>
      <c r="B260" s="49">
        <f>IF(OR(ISNUMBER(SEARCH("Tequila", C260)), ISNUMBER(SEARCH("Tequila", D260))), "Tequila",
 IF(OR(ISNUMBER(SEARCH("Rum", C260)), ISNUMBER(SEARCH("Rum", D260))), "Rum",
 IF(OR(ISNUMBER(SEARCH("Whiskey", C260)), ISNUMBER(SEARCH("Whiskey", D260))), "Whiskey",
 IF(OR(ISNUMBER(SEARCH("Gin", C260)), ISNUMBER(SEARCH("Gin", D260))), "Gin",
 IF(OR(ISNUMBER(SEARCH("Liqueur", C260)), ISNUMBER(SEARCH("Liqueur", D260))), "Liqueur", "")))))</f>
        <v/>
      </c>
      <c r="C260" s="50" t="n"/>
      <c r="D260" s="51" t="inlineStr">
        <is>
          <t>Maestro Dobel 50 1968 Extra Anejo Tequila (750mL/item) - $776.25 2</t>
        </is>
      </c>
      <c r="E260" s="52" t="n">
        <v>750</v>
      </c>
      <c r="F260" s="51">
        <f>TRIM(MID(D260, FIND("$", D260), FIND(" ", D260, FIND("$", D260)) - FIND("$", D260))
)</f>
        <v/>
      </c>
      <c r="G260" s="53" t="n">
        <v>29.57</v>
      </c>
      <c r="H260" s="54">
        <f>SUM(E260/G260)</f>
        <v/>
      </c>
      <c r="I260" s="104">
        <f>SUM(F260/H260)</f>
        <v/>
      </c>
      <c r="J260" s="105">
        <f>SUM(4*I260)</f>
        <v/>
      </c>
      <c r="K260" s="100">
        <f>SUM(I260*1.5)</f>
        <v/>
      </c>
      <c r="L260" s="101">
        <f>SUM(K260*4)</f>
        <v/>
      </c>
      <c r="M260" s="102">
        <f>SUM(I260*2)</f>
        <v/>
      </c>
      <c r="N260" s="103">
        <f>SUM(M260*4)</f>
        <v/>
      </c>
    </row>
    <row r="261" ht="15.75" customHeight="1">
      <c r="A261" s="35" t="n">
        <v>150</v>
      </c>
      <c r="B261" s="49">
        <f>IF(OR(ISNUMBER(SEARCH("Tequila", C261)), ISNUMBER(SEARCH("Tequila", D261))), "Tequila",
IF(OR(ISNUMBER(SEARCH("Rum", C261)), ISNUMBER(SEARCH("Rum", D261))), "Rum",
IF(OR(ISNUMBER(SEARCH("Whiskey", C261)), ISNUMBER(SEARCH("Whiskey", D261))), "Whiskey",
IF(OR(ISNUMBER(SEARCH("Gin", C261)), ISNUMBER(SEARCH("Gin", D261))), "Gin",
IF(OR(ISNUMBER(SEARCH("Liqueur", C261)), ISNUMBER(SEARCH("Liqueur", D261))), "Liqueur", "")))))</f>
        <v/>
      </c>
      <c r="C261" s="50" t="n"/>
      <c r="D261" s="51" t="inlineStr">
        <is>
          <t>Maestro Dobel 50 1969 Extra Anejo Tequila (750mL/item) - $776.25 2</t>
        </is>
      </c>
      <c r="E261" s="52" t="n">
        <v>750</v>
      </c>
      <c r="F261" s="51">
        <f>TRIM(MID(D261, FIND("$", D261), FIND(" ", D261, FIND("$", D261)) - FIND("$", D261))
)</f>
        <v/>
      </c>
      <c r="G261" s="53" t="n">
        <v>29.57</v>
      </c>
      <c r="H261" s="54">
        <f>SUM(E261/G261)</f>
        <v/>
      </c>
      <c r="I261" s="104">
        <f>SUM(F261/H261)</f>
        <v/>
      </c>
      <c r="J261" s="105">
        <f>SUM(4*I261)</f>
        <v/>
      </c>
      <c r="K261" s="100">
        <f>SUM(I261*1.5)</f>
        <v/>
      </c>
      <c r="L261" s="101">
        <f>SUM(K261*4)</f>
        <v/>
      </c>
      <c r="M261" s="102">
        <f>SUM(I261*2)</f>
        <v/>
      </c>
      <c r="N261" s="103">
        <f>SUM(M261*4)</f>
        <v/>
      </c>
    </row>
    <row r="262" ht="15.75" customHeight="1">
      <c r="A262" s="35" t="n">
        <v>151</v>
      </c>
      <c r="B262" s="49">
        <f>IF(OR(ISNUMBER(SEARCH("Tequila", C262)), ISNUMBER(SEARCH("Tequila", D262))), "Tequila",
IF(OR(ISNUMBER(SEARCH("Rum", C262)), ISNUMBER(SEARCH("Rum", D262))), "Rum",
IF(OR(ISNUMBER(SEARCH("Whiskey", C262)), ISNUMBER(SEARCH("Whiskey", D262))), "Whiskey",
IF(OR(ISNUMBER(SEARCH("Gin", C262)), ISNUMBER(SEARCH("Gin", D262))), "Gin",
IF(OR(ISNUMBER(SEARCH("Liqueur", C262)), ISNUMBER(SEARCH("Liqueur", D262))), "Liqueur", "")))))</f>
        <v/>
      </c>
      <c r="C262" s="50" t="n"/>
      <c r="D262" s="51" t="inlineStr">
        <is>
          <t>Maestro Dobel 50 1970 Extra Anejo Tequila (750mL/item) - $776.25 2</t>
        </is>
      </c>
      <c r="E262" s="52" t="n">
        <v>750</v>
      </c>
      <c r="F262" s="51">
        <f>TRIM(MID(D262, FIND("$", D262), FIND(" ", D262, FIND("$", D262)) - FIND("$", D262))
)</f>
        <v/>
      </c>
      <c r="G262" s="53" t="n">
        <v>29.57</v>
      </c>
      <c r="H262" s="54">
        <f>SUM(E262/G262)</f>
        <v/>
      </c>
      <c r="I262" s="104">
        <f>SUM(F262/H262)</f>
        <v/>
      </c>
      <c r="J262" s="105">
        <f>SUM(4*I262)</f>
        <v/>
      </c>
      <c r="K262" s="100">
        <f>SUM(I262*1.5)</f>
        <v/>
      </c>
      <c r="L262" s="101">
        <f>SUM(K262*4)</f>
        <v/>
      </c>
      <c r="M262" s="102">
        <f>SUM(I262*2)</f>
        <v/>
      </c>
      <c r="N262" s="103">
        <f>SUM(M262*4)</f>
        <v/>
      </c>
    </row>
    <row r="263" ht="15.75" customHeight="1">
      <c r="A263" s="35" t="n">
        <v>152</v>
      </c>
      <c r="B263" s="49">
        <f>IF(OR(ISNUMBER(SEARCH("Tequila", C263)), ISNUMBER(SEARCH("Tequila", D263))), "Tequila",
IF(OR(ISNUMBER(SEARCH("Rum", C263)), ISNUMBER(SEARCH("Rum", D263))), "Rum",
IF(OR(ISNUMBER(SEARCH("Whiskey", C263)), ISNUMBER(SEARCH("Whiskey", D263))), "Whiskey",
IF(OR(ISNUMBER(SEARCH("Gin", C263)), ISNUMBER(SEARCH("Gin", D263))), "Gin",
IF(OR(ISNUMBER(SEARCH("Liqueur", C263)), ISNUMBER(SEARCH("Liqueur", D263))), "Liqueur", "")))))</f>
        <v/>
      </c>
      <c r="C263" s="52" t="n"/>
      <c r="D263" s="51" t="inlineStr">
        <is>
          <t>Maestro Dobel Silver Tequila (750mL/item) - $39.40 2</t>
        </is>
      </c>
      <c r="E263" s="52" t="n">
        <v>750</v>
      </c>
      <c r="F263" s="51">
        <f>TRIM(MID(D263, FIND("$", D263), FIND(" ", D263, FIND("$", D263)) - FIND("$", D263))
)</f>
        <v/>
      </c>
      <c r="G263" s="53" t="n">
        <v>29.57</v>
      </c>
      <c r="H263" s="54">
        <f>SUM(E263/G263)</f>
        <v/>
      </c>
      <c r="I263" s="104">
        <f>SUM(F263/H263)</f>
        <v/>
      </c>
      <c r="J263" s="105">
        <f>SUM(4*I263)</f>
        <v/>
      </c>
      <c r="K263" s="100">
        <f>SUM(I263*1.5)</f>
        <v/>
      </c>
      <c r="L263" s="101">
        <f>SUM(K263*4)</f>
        <v/>
      </c>
      <c r="M263" s="102">
        <f>SUM(I263*2)</f>
        <v/>
      </c>
      <c r="N263" s="103">
        <f>SUM(M263*4)</f>
        <v/>
      </c>
    </row>
    <row r="264" ht="15.75" customHeight="1">
      <c r="A264" s="35" t="n">
        <v>197</v>
      </c>
      <c r="B264" s="49">
        <f>IF(OR(ISNUMBER(SEARCH("Tequila", C264)), ISNUMBER(SEARCH("Tequila", D264))), "Tequila",
IF(OR(ISNUMBER(SEARCH("Rum", C264)), ISNUMBER(SEARCH("Rum", D264))), "Rum",
IF(OR(ISNUMBER(SEARCH("Whiskey", C264)), ISNUMBER(SEARCH("Whiskey", D264))), "Whiskey",
IF(OR(ISNUMBER(SEARCH("Gin", C264)), ISNUMBER(SEARCH("Gin", D264))), "Gin",
IF(OR(ISNUMBER(SEARCH("Liqueur", C264)), ISNUMBER(SEARCH("Liqueur", D264))), "Liqueur", "")))))</f>
        <v/>
      </c>
      <c r="C264" s="52" t="n"/>
      <c r="D264" s="51" t="inlineStr">
        <is>
          <t>Mezcal Vago Elote Mezcal (750mL/item) - $49.35 1</t>
        </is>
      </c>
      <c r="E264" s="52" t="n">
        <v>750</v>
      </c>
      <c r="F264" s="51">
        <f>TRIM(MID(D264, FIND("$", D264), FIND(" ", D264, FIND("$", D264)) - FIND("$", D264))
)</f>
        <v/>
      </c>
      <c r="G264" s="53" t="n">
        <v>29.57</v>
      </c>
      <c r="H264" s="54">
        <f>SUM(E264/G264)</f>
        <v/>
      </c>
      <c r="I264" s="104">
        <f>SUM(F264/H264)</f>
        <v/>
      </c>
      <c r="J264" s="105">
        <f>SUM(4*I264)</f>
        <v/>
      </c>
      <c r="K264" s="100">
        <f>SUM(I264*1.5)</f>
        <v/>
      </c>
      <c r="L264" s="101">
        <f>SUM(K264*4)</f>
        <v/>
      </c>
      <c r="M264" s="102">
        <f>SUM(I264*2)</f>
        <v/>
      </c>
      <c r="N264" s="103">
        <f>SUM(M264*4)</f>
        <v/>
      </c>
    </row>
    <row r="265" ht="15.75" customHeight="1">
      <c r="A265" s="35" t="n">
        <v>342</v>
      </c>
      <c r="B265" s="49">
        <f>IF(OR(ISNUMBER(SEARCH("Tequila", C265)), ISNUMBER(SEARCH("Tequila", D265))), "Tequila",
IF(OR(ISNUMBER(SEARCH("Rum", C265)), ISNUMBER(SEARCH("Rum", D265))), "Rum",
IF(OR(ISNUMBER(SEARCH("Whiskey", C265)), ISNUMBER(SEARCH("Whiskey", D265))), "Whiskey",
IF(OR(ISNUMBER(SEARCH("Gin", C265)), ISNUMBER(SEARCH("Gin", D265))), "Gin",
IF(OR(ISNUMBER(SEARCH("Liqueur", C265)), ISNUMBER(SEARCH("Liqueur", D265))), "Liqueur", "")))))</f>
        <v/>
      </c>
      <c r="C265" s="52" t="n"/>
      <c r="D265" s="51" t="inlineStr">
        <is>
          <t>Midori Melon Liqueur (1L/item) - $24.69 2</t>
        </is>
      </c>
      <c r="E265" s="52" t="n">
        <v>1000</v>
      </c>
      <c r="F265" s="51">
        <f>TRIM(MID(D265, FIND("$", D265), FIND(" ", D265, FIND("$", D265)) - FIND("$", D265))
)</f>
        <v/>
      </c>
      <c r="G265" s="53" t="n">
        <v>29.57</v>
      </c>
      <c r="H265" s="54">
        <f>SUM(E265/G265)</f>
        <v/>
      </c>
      <c r="I265" s="104">
        <f>SUM(F265/H265)</f>
        <v/>
      </c>
      <c r="J265" s="105">
        <f>SUM(4*I265)</f>
        <v/>
      </c>
      <c r="K265" s="100">
        <f>SUM(I265*1.5)</f>
        <v/>
      </c>
      <c r="L265" s="101">
        <f>SUM(K265*4)</f>
        <v/>
      </c>
      <c r="M265" s="102">
        <f>SUM(I265*2)</f>
        <v/>
      </c>
      <c r="N265" s="103">
        <f>SUM(M265*4)</f>
        <v/>
      </c>
    </row>
    <row r="266" ht="15.75" customHeight="1">
      <c r="A266" s="35" t="n">
        <v>218</v>
      </c>
      <c r="B266" s="49">
        <f>IF(OR(ISNUMBER(SEARCH("Tequila", C266)), ISNUMBER(SEARCH("Tequila", D266))), "Tequila",
IF(OR(ISNUMBER(SEARCH("Rum", C266)), ISNUMBER(SEARCH("Rum", D266))), "Rum",
IF(OR(ISNUMBER(SEARCH("Whiskey", C266)), ISNUMBER(SEARCH("Whiskey", D266))), "Whiskey",
IF(OR(ISNUMBER(SEARCH("Gin", C266)), ISNUMBER(SEARCH("Gin", D266))), "Gin",
IF(OR(ISNUMBER(SEARCH("Liqueur", C266)), ISNUMBER(SEARCH("Liqueur", D266))), "Liqueur", "")))))</f>
        <v/>
      </c>
      <c r="C266" s="58" t="n"/>
      <c r="D266" s="51" t="inlineStr">
        <is>
          <t>Mijenta Blanco Tequila (750mL/item) - $42.99 2</t>
        </is>
      </c>
      <c r="E266" s="52" t="n">
        <v>750</v>
      </c>
      <c r="F266" s="51">
        <f>TRIM(MID(D266, FIND("$", D266), FIND(" ", D266, FIND("$", D266)) - FIND("$", D266))
)</f>
        <v/>
      </c>
      <c r="G266" s="53" t="n">
        <v>29.57</v>
      </c>
      <c r="H266" s="54">
        <f>SUM(E266/G266)</f>
        <v/>
      </c>
      <c r="I266" s="104">
        <f>SUM(F266/H266)</f>
        <v/>
      </c>
      <c r="J266" s="105">
        <f>SUM(4*I266)</f>
        <v/>
      </c>
      <c r="K266" s="100">
        <f>SUM(I266*1.5)</f>
        <v/>
      </c>
      <c r="L266" s="101">
        <f>SUM(K266*4)</f>
        <v/>
      </c>
      <c r="M266" s="102">
        <f>SUM(I266*2)</f>
        <v/>
      </c>
      <c r="N266" s="103">
        <f>SUM(M266*4)</f>
        <v/>
      </c>
    </row>
    <row r="267" ht="15.75" customHeight="1">
      <c r="A267" s="35" t="n">
        <v>219</v>
      </c>
      <c r="B267" s="49">
        <f>IF(OR(ISNUMBER(SEARCH("Tequila", C267)), ISNUMBER(SEARCH("Tequila", D267))), "Tequila",
IF(OR(ISNUMBER(SEARCH("Rum", C267)), ISNUMBER(SEARCH("Rum", D267))), "Rum",
IF(OR(ISNUMBER(SEARCH("Whiskey", C267)), ISNUMBER(SEARCH("Whiskey", D267))), "Whiskey",
IF(OR(ISNUMBER(SEARCH("Gin", C267)), ISNUMBER(SEARCH("Gin", D267))), "Gin",
IF(OR(ISNUMBER(SEARCH("Liqueur", C267)), ISNUMBER(SEARCH("Liqueur", D267))), "Liqueur", "")))))</f>
        <v/>
      </c>
      <c r="C267" s="52">
        <f>IF(OR(ISNUMBER(SEARCH("plata", D201)), ISNUMBER(SEARCH("blanco", D201)), ISNUMBER(SEARCH("silver", D201))), "Silver",
 IF(ISNUMBER(SEARCH("gold", D201)), "Gold",
 IF(ISNUMBER(SEARCH("reposado", D201)), "Reposado",
 IF(AND(ISNUMBER(SEARCH("anejo", D201)), NOT(ISNUMBER(SEARCH("extra anejo", D201)))), "Anejo",
 IF(ISNUMBER(SEARCH("extra anejo", D201)), "Extra Anejo", "")))))</f>
        <v/>
      </c>
      <c r="D267" s="51" t="inlineStr">
        <is>
          <t>Mijenta Reposado Tequila (750ML/item) - $59.29 2</t>
        </is>
      </c>
      <c r="E267" s="52" t="n">
        <v>750</v>
      </c>
      <c r="F267" s="51">
        <f>TRIM(MID(D267, FIND("$", D267), FIND(" ", D267, FIND("$", D267)) - FIND("$", D267))
)</f>
        <v/>
      </c>
      <c r="G267" s="53" t="n">
        <v>29.57</v>
      </c>
      <c r="H267" s="54">
        <f>SUM(E267/G267)</f>
        <v/>
      </c>
      <c r="I267" s="104">
        <f>SUM(F267/H267)</f>
        <v/>
      </c>
      <c r="J267" s="105">
        <f>SUM(4*I267)</f>
        <v/>
      </c>
      <c r="K267" s="100">
        <f>SUM(I267*1.5)</f>
        <v/>
      </c>
      <c r="L267" s="101">
        <f>SUM(K267*4)</f>
        <v/>
      </c>
      <c r="M267" s="102">
        <f>SUM(I267*2)</f>
        <v/>
      </c>
      <c r="N267" s="103">
        <f>SUM(M267*4)</f>
        <v/>
      </c>
    </row>
    <row r="268" ht="15.75" customHeight="1">
      <c r="A268" s="35" t="n">
        <v>153</v>
      </c>
      <c r="B268" s="49">
        <f>IF(OR(ISNUMBER(SEARCH("Tequila", C268)), ISNUMBER(SEARCH("Tequila", D268))), "Tequila",
IF(OR(ISNUMBER(SEARCH("Rum", C268)), ISNUMBER(SEARCH("Rum", D268))), "Rum",
IF(OR(ISNUMBER(SEARCH("Whiskey", C268)), ISNUMBER(SEARCH("Whiskey", D268))), "Whiskey",
IF(OR(ISNUMBER(SEARCH("Gin", C268)), ISNUMBER(SEARCH("Gin", D268))), "Gin",
IF(OR(ISNUMBER(SEARCH("Liqueur", C268)), ISNUMBER(SEARCH("Liqueur", D268))), "Liqueur", "")))))</f>
        <v/>
      </c>
      <c r="C268" s="52">
        <f>IF(OR(ISNUMBER(SEARCH("plata", D202)), ISNUMBER(SEARCH("blanco", D202)), ISNUMBER(SEARCH("silver", D202))), "Silver",
 IF(ISNUMBER(SEARCH("gold", D202)), "Gold",
 IF(ISNUMBER(SEARCH("reposado", D202)), "Reposado",
 IF(AND(ISNUMBER(SEARCH("anejo", D202)), NOT(ISNUMBER(SEARCH("extra anejo", D202)))), "Anejo",
 IF(ISNUMBER(SEARCH("extra anejo", D202)), "Extra Anejo", "")))))</f>
        <v/>
      </c>
      <c r="D268" s="51" t="inlineStr">
        <is>
          <t>Milagro Anejo Tequila (750mL/item) - $35.13 2</t>
        </is>
      </c>
      <c r="E268" s="52" t="n">
        <v>750</v>
      </c>
      <c r="F268" s="51">
        <f>TRIM(MID(D268, FIND("$", D268), FIND(" ", D268, FIND("$", D268)) - FIND("$", D268))
)</f>
        <v/>
      </c>
      <c r="G268" s="53" t="n">
        <v>29.57</v>
      </c>
      <c r="H268" s="54">
        <f>SUM(E268/G268)</f>
        <v/>
      </c>
      <c r="I268" s="104">
        <f>SUM(F268/H268)</f>
        <v/>
      </c>
      <c r="J268" s="105">
        <f>SUM(4*I268)</f>
        <v/>
      </c>
      <c r="K268" s="100">
        <f>SUM(I268*1.5)</f>
        <v/>
      </c>
      <c r="L268" s="101">
        <f>SUM(K268*4)</f>
        <v/>
      </c>
      <c r="M268" s="102">
        <f>SUM(I268*2)</f>
        <v/>
      </c>
      <c r="N268" s="103">
        <f>SUM(M268*4)</f>
        <v/>
      </c>
    </row>
    <row r="269" ht="15.75" customHeight="1">
      <c r="A269" s="35" t="n">
        <v>154</v>
      </c>
      <c r="B269" s="49">
        <f>IF(OR(ISNUMBER(SEARCH("Tequila", C269)), ISNUMBER(SEARCH("Tequila", D269))), "Tequila",
IF(OR(ISNUMBER(SEARCH("Rum", C269)), ISNUMBER(SEARCH("Rum", D269))), "Rum",
IF(OR(ISNUMBER(SEARCH("Whiskey", C269)), ISNUMBER(SEARCH("Whiskey", D269))), "Whiskey",
IF(OR(ISNUMBER(SEARCH("Gin", C269)), ISNUMBER(SEARCH("Gin", D269))), "Gin",
IF(OR(ISNUMBER(SEARCH("Liqueur", C269)), ISNUMBER(SEARCH("Liqueur", D269))), "Liqueur", "")))))</f>
        <v/>
      </c>
      <c r="C269" s="52">
        <f>IF(OR(ISNUMBER(SEARCH("plata", D203)), ISNUMBER(SEARCH("blanco", D203)), ISNUMBER(SEARCH("silver", D203))), "Silver",
 IF(ISNUMBER(SEARCH("gold", D203)), "Gold",
 IF(ISNUMBER(SEARCH("reposado", D203)), "Reposado",
 IF(AND(ISNUMBER(SEARCH("anejo", D203)), NOT(ISNUMBER(SEARCH("extra anejo", D203)))), "Anejo",
 IF(ISNUMBER(SEARCH("extra anejo", D203)), "Extra Anejo", "")))))</f>
        <v/>
      </c>
      <c r="D269" s="51" t="inlineStr">
        <is>
          <t>Milagro Reposado Tequila (750mL/item) - $26.15 2</t>
        </is>
      </c>
      <c r="E269" s="52" t="n">
        <v>750</v>
      </c>
      <c r="F269" s="51">
        <f>TRIM(MID(D269, FIND("$", D269), FIND(" ", D269, FIND("$", D269)) - FIND("$", D269))
)</f>
        <v/>
      </c>
      <c r="G269" s="53" t="n">
        <v>29.57</v>
      </c>
      <c r="H269" s="54">
        <f>SUM(E269/G269)</f>
        <v/>
      </c>
      <c r="I269" s="104">
        <f>SUM(F269/H269)</f>
        <v/>
      </c>
      <c r="J269" s="105">
        <f>SUM(4*I269)</f>
        <v/>
      </c>
      <c r="K269" s="100">
        <f>SUM(I269*1.5)</f>
        <v/>
      </c>
      <c r="L269" s="101">
        <f>SUM(K269*4)</f>
        <v/>
      </c>
      <c r="M269" s="102">
        <f>SUM(I269*2)</f>
        <v/>
      </c>
      <c r="N269" s="103">
        <f>SUM(M269*4)</f>
        <v/>
      </c>
    </row>
    <row r="270" ht="15.75" customHeight="1">
      <c r="A270" s="35" t="n">
        <v>155</v>
      </c>
      <c r="B270" s="49">
        <f>IF(OR(ISNUMBER(SEARCH("Tequila", C270)), ISNUMBER(SEARCH("Tequila", D270))), "Tequila",
IF(OR(ISNUMBER(SEARCH("Rum", C270)), ISNUMBER(SEARCH("Rum", D270))), "Rum",
IF(OR(ISNUMBER(SEARCH("Whiskey", C270)), ISNUMBER(SEARCH("Whiskey", D270))), "Whiskey",
IF(OR(ISNUMBER(SEARCH("Gin", C270)), ISNUMBER(SEARCH("Gin", D270))), "Gin",
IF(OR(ISNUMBER(SEARCH("Liqueur", C270)), ISNUMBER(SEARCH("Liqueur", D270))), "Liqueur", "")))))</f>
        <v/>
      </c>
      <c r="C270" s="52">
        <f>IF(OR(ISNUMBER(SEARCH("plata", D204)), ISNUMBER(SEARCH("blanco", D204)), ISNUMBER(SEARCH("silver", D204))), "Silver",
 IF(ISNUMBER(SEARCH("gold", D204)), "Gold",
 IF(ISNUMBER(SEARCH("reposado", D204)), "Reposado",
 IF(AND(ISNUMBER(SEARCH("anejo", D204)), NOT(ISNUMBER(SEARCH("extra anejo", D204)))), "Anejo",
 IF(ISNUMBER(SEARCH("extra anejo", D204)), "Extra Anejo", "")))))</f>
        <v/>
      </c>
      <c r="D270" s="51" t="inlineStr">
        <is>
          <t>Milagro Select Reposado Tequila (750mL/item) - $40.22 2</t>
        </is>
      </c>
      <c r="E270" s="52" t="n">
        <v>750</v>
      </c>
      <c r="F270" s="51">
        <f>TRIM(MID(D270, FIND("$", D270), FIND(" ", D270, FIND("$", D270)) - FIND("$", D270))
)</f>
        <v/>
      </c>
      <c r="G270" s="53" t="n">
        <v>29.57</v>
      </c>
      <c r="H270" s="54">
        <f>SUM(E270/G270)</f>
        <v/>
      </c>
      <c r="I270" s="104">
        <f>SUM(F270/H270)</f>
        <v/>
      </c>
      <c r="J270" s="105">
        <f>SUM(4*I270)</f>
        <v/>
      </c>
      <c r="K270" s="100">
        <f>SUM(I270*1.5)</f>
        <v/>
      </c>
      <c r="L270" s="101">
        <f>SUM(K270*4)</f>
        <v/>
      </c>
      <c r="M270" s="102">
        <f>SUM(I270*2)</f>
        <v/>
      </c>
      <c r="N270" s="103">
        <f>SUM(M270*4)</f>
        <v/>
      </c>
    </row>
    <row r="271" ht="15.75" customHeight="1">
      <c r="A271" s="35" t="n">
        <v>156</v>
      </c>
      <c r="B271" s="49">
        <f>IF(OR(ISNUMBER(SEARCH("Tequila", C271)), ISNUMBER(SEARCH("Tequila", D271))), "Tequila",
IF(OR(ISNUMBER(SEARCH("Rum", C271)), ISNUMBER(SEARCH("Rum", D271))), "Rum",
IF(OR(ISNUMBER(SEARCH("Whiskey", C271)), ISNUMBER(SEARCH("Whiskey", D271))), "Whiskey",
IF(OR(ISNUMBER(SEARCH("Gin", C271)), ISNUMBER(SEARCH("Gin", D271))), "Gin",
IF(OR(ISNUMBER(SEARCH("Liqueur", C271)), ISNUMBER(SEARCH("Liqueur", D271))), "Liqueur", "")))))</f>
        <v/>
      </c>
      <c r="C271" s="58" t="n"/>
      <c r="D271" s="51" t="inlineStr">
        <is>
          <t>Milagro Select Silver Tequila (750mL/item) - $36.13 2</t>
        </is>
      </c>
      <c r="E271" s="52" t="n">
        <v>750</v>
      </c>
      <c r="F271" s="51">
        <f>TRIM(MID(D271, FIND("$", D271), FIND(" ", D271, FIND("$", D271)) - FIND("$", D271))
)</f>
        <v/>
      </c>
      <c r="G271" s="53" t="n">
        <v>29.57</v>
      </c>
      <c r="H271" s="54">
        <f>SUM(E271/G271)</f>
        <v/>
      </c>
      <c r="I271" s="104">
        <f>SUM(F271/H271)</f>
        <v/>
      </c>
      <c r="J271" s="105">
        <f>SUM(4*I271)</f>
        <v/>
      </c>
      <c r="K271" s="100">
        <f>SUM(I271*1.5)</f>
        <v/>
      </c>
      <c r="L271" s="101">
        <f>SUM(K271*4)</f>
        <v/>
      </c>
      <c r="M271" s="102">
        <f>SUM(I271*2)</f>
        <v/>
      </c>
      <c r="N271" s="103">
        <f>SUM(M271*4)</f>
        <v/>
      </c>
    </row>
    <row r="272" ht="15.75" customHeight="1">
      <c r="A272" s="35" t="n">
        <v>157</v>
      </c>
      <c r="B272" s="49">
        <f>IF(OR(ISNUMBER(SEARCH("Tequila", C272)), ISNUMBER(SEARCH("Tequila", D272))), "Tequila",
IF(OR(ISNUMBER(SEARCH("Rum", C272)), ISNUMBER(SEARCH("Rum", D272))), "Rum",
IF(OR(ISNUMBER(SEARCH("Whiskey", C272)), ISNUMBER(SEARCH("Whiskey", D272))), "Whiskey",
IF(OR(ISNUMBER(SEARCH("Gin", C272)), ISNUMBER(SEARCH("Gin", D272))), "Gin",
IF(OR(ISNUMBER(SEARCH("Liqueur", C272)), ISNUMBER(SEARCH("Liqueur", D272))), "Liqueur", "")))))</f>
        <v/>
      </c>
      <c r="C272" s="58" t="n"/>
      <c r="D272" s="51" t="inlineStr">
        <is>
          <t>Milagro Silver Tequila (750mL/item) - $25.33 2</t>
        </is>
      </c>
      <c r="E272" s="52" t="n">
        <v>750</v>
      </c>
      <c r="F272" s="51">
        <f>TRIM(MID(D272, FIND("$", D272), FIND(" ", D272, FIND("$", D272)) - FIND("$", D272))
)</f>
        <v/>
      </c>
      <c r="G272" s="53" t="n">
        <v>29.57</v>
      </c>
      <c r="H272" s="54">
        <f>SUM(E272/G272)</f>
        <v/>
      </c>
      <c r="I272" s="104">
        <f>SUM(F272/H272)</f>
        <v/>
      </c>
      <c r="J272" s="105">
        <f>SUM(4*I272)</f>
        <v/>
      </c>
      <c r="K272" s="100">
        <f>SUM(I272*1.5)</f>
        <v/>
      </c>
      <c r="L272" s="101">
        <f>SUM(K272*4)</f>
        <v/>
      </c>
      <c r="M272" s="102">
        <f>SUM(I272*2)</f>
        <v/>
      </c>
      <c r="N272" s="103">
        <f>SUM(M272*4)</f>
        <v/>
      </c>
    </row>
    <row r="273" ht="15.75" customHeight="1">
      <c r="A273" s="35" t="n">
        <v>198</v>
      </c>
      <c r="B273" s="49">
        <f>IF(OR(ISNUMBER(SEARCH("Tequila", C273)), ISNUMBER(SEARCH("Tequila", D273))), "Tequila",
IF(OR(ISNUMBER(SEARCH("Rum", C273)), ISNUMBER(SEARCH("Rum", D273))), "Rum",
IF(OR(ISNUMBER(SEARCH("Whiskey", C273)), ISNUMBER(SEARCH("Whiskey", D273))), "Whiskey",
IF(OR(ISNUMBER(SEARCH("Gin", C273)), ISNUMBER(SEARCH("Gin", D273))), "Gin",
IF(OR(ISNUMBER(SEARCH("Liqueur", C273)), ISNUMBER(SEARCH("Liqueur", D273))), "Liqueur", "")))))</f>
        <v/>
      </c>
      <c r="C273" s="58" t="n"/>
      <c r="D273" s="51" t="inlineStr">
        <is>
          <t>Montagave Heritage Blanco Tequila (750mL/item) - $56.70 2</t>
        </is>
      </c>
      <c r="E273" s="52" t="n">
        <v>750</v>
      </c>
      <c r="F273" s="51">
        <f>TRIM(MID(D273, FIND("$", D273), FIND(" ", D273, FIND("$", D273)) - FIND("$", D273))
)</f>
        <v/>
      </c>
      <c r="G273" s="53" t="n">
        <v>29.57</v>
      </c>
      <c r="H273" s="54">
        <f>SUM(E273/G273)</f>
        <v/>
      </c>
      <c r="I273" s="104">
        <f>SUM(F273/H273)</f>
        <v/>
      </c>
      <c r="J273" s="105">
        <f>SUM(4*I273)</f>
        <v/>
      </c>
      <c r="K273" s="100">
        <f>SUM(I273*1.5)</f>
        <v/>
      </c>
      <c r="L273" s="101">
        <f>SUM(K273*4)</f>
        <v/>
      </c>
      <c r="M273" s="102">
        <f>SUM(I273*2)</f>
        <v/>
      </c>
      <c r="N273" s="103">
        <f>SUM(M273*4)</f>
        <v/>
      </c>
    </row>
    <row r="274" ht="15.75" customHeight="1">
      <c r="A274" s="35" t="n">
        <v>254</v>
      </c>
      <c r="B274" s="49">
        <f>IF(OR(ISNUMBER(SEARCH("Tequila", C274)), ISNUMBER(SEARCH("Tequila", D274))), "Tequila",
IF(OR(ISNUMBER(SEARCH("Rum", C274)), ISNUMBER(SEARCH("Rum", D274))), "Rum",
IF(OR(ISNUMBER(SEARCH("Whiskey", C274)), ISNUMBER(SEARCH("Whiskey", D274))), "Whiskey",
IF(OR(ISNUMBER(SEARCH("Gin", C274)), ISNUMBER(SEARCH("Gin", D274))), "Gin",
IF(OR(ISNUMBER(SEARCH("Liqueur", C274)), ISNUMBER(SEARCH("Liqueur", D274))), "Liqueur", "")))))</f>
        <v/>
      </c>
      <c r="C274" s="52" t="n"/>
      <c r="D274" s="51" t="n"/>
      <c r="E274" s="52" t="n"/>
      <c r="F274" s="51" t="n"/>
      <c r="G274" s="53" t="n"/>
      <c r="H274" s="54" t="n"/>
      <c r="I274" s="104" t="n"/>
      <c r="J274" s="105" t="n"/>
      <c r="K274" s="100" t="n"/>
      <c r="L274" s="101" t="n"/>
      <c r="M274" s="102" t="n"/>
      <c r="N274" s="103" t="n"/>
    </row>
    <row r="275" ht="15.75" customHeight="1">
      <c r="A275" s="35" t="n">
        <v>273</v>
      </c>
      <c r="B275" s="49">
        <f>IF(OR(ISNUMBER(SEARCH("Tequila", C275)), ISNUMBER(SEARCH("Tequila", D275))), "Tequila",
IF(OR(ISNUMBER(SEARCH("Rum", C275)), ISNUMBER(SEARCH("Rum", D275))), "Rum",
IF(OR(ISNUMBER(SEARCH("Whiskey", C275)), ISNUMBER(SEARCH("Whiskey", D275))), "Whiskey",
IF(OR(ISNUMBER(SEARCH("Gin", C275)), ISNUMBER(SEARCH("Gin", D275))), "Gin",
IF(OR(ISNUMBER(SEARCH("Liqueur", C275)), ISNUMBER(SEARCH("Liqueur", D275))), "Liqueur", "")))))</f>
        <v/>
      </c>
      <c r="C275" s="52" t="n"/>
      <c r="D275" s="51" t="n"/>
      <c r="E275" s="52" t="n"/>
      <c r="F275" s="51" t="n"/>
      <c r="G275" s="53" t="n"/>
      <c r="H275" s="54" t="n"/>
      <c r="I275" s="104" t="n"/>
      <c r="J275" s="105" t="n"/>
      <c r="K275" s="100" t="n"/>
      <c r="L275" s="101" t="n"/>
      <c r="M275" s="102" t="n"/>
      <c r="N275" s="103" t="n"/>
    </row>
    <row r="276" ht="15.75" customHeight="1">
      <c r="A276" s="35" t="n">
        <v>15</v>
      </c>
      <c r="B276" s="49">
        <f>IF(OR(ISNUMBER(SEARCH("Tequila", C276)), ISNUMBER(SEARCH("Tequila", D276))), "Tequila",
IF(OR(ISNUMBER(SEARCH("Rum", C276)), ISNUMBER(SEARCH("Rum", D276))), "Rum",
IF(OR(ISNUMBER(SEARCH("Whiskey", C276)), ISNUMBER(SEARCH("Whiskey", D276))), "Whiskey",
IF(OR(ISNUMBER(SEARCH("Gin", C276)), ISNUMBER(SEARCH("Gin", D276))), "Gin",
IF(OR(ISNUMBER(SEARCH("Liqueur", C276)), ISNUMBER(SEARCH("Liqueur", D276))), "Liqueur", "")))))</f>
        <v/>
      </c>
      <c r="C276" s="52" t="n"/>
      <c r="D276" s="51" t="inlineStr">
        <is>
          <t>Naked Malt Blend Single Malt Scotch (750mL / item) $27.14 2</t>
        </is>
      </c>
      <c r="E276" s="52" t="n">
        <v>750</v>
      </c>
      <c r="F276" s="51">
        <f>TRIM(MID(D276, FIND("$", D276), FIND(" ", D276, FIND("$", D276)) - FIND("$", D276))
)</f>
        <v/>
      </c>
      <c r="G276" s="53" t="n">
        <v>29.57</v>
      </c>
      <c r="H276" s="54">
        <f>SUM(E276/G276)</f>
        <v/>
      </c>
      <c r="I276" s="104">
        <f>SUM(F276/H276)</f>
        <v/>
      </c>
      <c r="J276" s="105">
        <f>SUM(4*I276)</f>
        <v/>
      </c>
      <c r="K276" s="100">
        <f>SUM(I276*1.5)</f>
        <v/>
      </c>
      <c r="L276" s="101">
        <f>SUM(K276*4)</f>
        <v/>
      </c>
      <c r="M276" s="102">
        <f>SUM(I276*2)</f>
        <v/>
      </c>
      <c r="N276" s="103">
        <f>SUM(M276*4)</f>
        <v/>
      </c>
    </row>
    <row r="277" ht="15.75" customHeight="1">
      <c r="A277" s="59" t="n"/>
      <c r="B277" s="49">
        <f>IF(OR(ISNUMBER(SEARCH("Tequila", C277)), ISNUMBER(SEARCH("Tequila", D277))), "Tequila",
IF(OR(ISNUMBER(SEARCH("Rum", C277)), ISNUMBER(SEARCH("Rum", D277))), "Rum",
IF(OR(ISNUMBER(SEARCH("Whiskey", C277)), ISNUMBER(SEARCH("Whiskey", D277))), "Whiskey",
IF(OR(ISNUMBER(SEARCH("Gin", C277)), ISNUMBER(SEARCH("Gin", D277))), "Gin",
IF(OR(ISNUMBER(SEARCH("Liqueur", C277)), ISNUMBER(SEARCH("Liqueur", D277))), "Liqueur", "")))))</f>
        <v/>
      </c>
      <c r="C277" s="52" t="n"/>
      <c r="D277" s="60" t="inlineStr">
        <is>
          <t>Novo Fogo Barrel Aged Cachaça (750mL) $32.85 1</t>
        </is>
      </c>
      <c r="E277" s="52" t="n">
        <v>750</v>
      </c>
      <c r="F277" s="51">
        <f>TRIM(MID(D277, FIND("$", D277), FIND(" ", D277, FIND("$", D277)) - FIND("$", D277))
)</f>
        <v/>
      </c>
      <c r="G277" s="53" t="n">
        <v>29.57</v>
      </c>
      <c r="H277" s="54">
        <f>SUM(E277/G277)</f>
        <v/>
      </c>
      <c r="I277" s="104">
        <f>SUM(F277/H277)</f>
        <v/>
      </c>
      <c r="J277" s="105">
        <f>SUM(4*I277)</f>
        <v/>
      </c>
      <c r="K277" s="100">
        <f>SUM(I277*1.5)</f>
        <v/>
      </c>
      <c r="L277" s="101">
        <f>SUM(K277*4)</f>
        <v/>
      </c>
      <c r="M277" s="102">
        <f>SUM(I277*2)</f>
        <v/>
      </c>
      <c r="N277" s="103">
        <f>SUM(M277*4)</f>
        <v/>
      </c>
    </row>
    <row r="278" ht="15.75" customHeight="1">
      <c r="A278" s="35" t="n">
        <v>158</v>
      </c>
      <c r="B278" s="49">
        <f>IF(OR(ISNUMBER(SEARCH("Tequila", C278)), ISNUMBER(SEARCH("Tequila", D278))), "Tequila",
IF(OR(ISNUMBER(SEARCH("Rum", C278)), ISNUMBER(SEARCH("Rum", D278))), "Rum",
IF(OR(ISNUMBER(SEARCH("Whiskey", C278)), ISNUMBER(SEARCH("Whiskey", D278))), "Whiskey",
IF(OR(ISNUMBER(SEARCH("Gin", C278)), ISNUMBER(SEARCH("Gin", D278))), "Gin",
IF(OR(ISNUMBER(SEARCH("Liqueur", C278)), ISNUMBER(SEARCH("Liqueur", D278))), "Liqueur", "")))))</f>
        <v/>
      </c>
      <c r="C278" s="52" t="n"/>
      <c r="D278" s="51" t="inlineStr">
        <is>
          <t>Nueveuno Organic Anejo Tequila (750mL/item) - $82.24 1</t>
        </is>
      </c>
      <c r="E278" s="52" t="n">
        <v>750</v>
      </c>
      <c r="F278" s="51">
        <f>TRIM(MID(D278, FIND("$", D278), FIND(" ", D278, FIND("$", D278)) - FIND("$", D278))
)</f>
        <v/>
      </c>
      <c r="G278" s="53" t="n">
        <v>29.57</v>
      </c>
      <c r="H278" s="54">
        <f>SUM(E278/G278)</f>
        <v/>
      </c>
      <c r="I278" s="104">
        <f>SUM(F278/H278)</f>
        <v/>
      </c>
      <c r="J278" s="105">
        <f>SUM(4*I278)</f>
        <v/>
      </c>
      <c r="K278" s="100">
        <f>SUM(I278*1.5)</f>
        <v/>
      </c>
      <c r="L278" s="101">
        <f>SUM(K278*4)</f>
        <v/>
      </c>
      <c r="M278" s="102">
        <f>SUM(I278*2)</f>
        <v/>
      </c>
      <c r="N278" s="103">
        <f>SUM(M278*4)</f>
        <v/>
      </c>
    </row>
    <row r="279" ht="15.75" customHeight="1">
      <c r="A279" s="35" t="n">
        <v>159</v>
      </c>
      <c r="B279" s="49">
        <f>IF(OR(ISNUMBER(SEARCH("Tequila", C279)), ISNUMBER(SEARCH("Tequila", D279))), "Tequila",
IF(OR(ISNUMBER(SEARCH("Rum", C279)), ISNUMBER(SEARCH("Rum", D279))), "Rum",
IF(OR(ISNUMBER(SEARCH("Whiskey", C279)), ISNUMBER(SEARCH("Whiskey", D279))), "Whiskey",
IF(OR(ISNUMBER(SEARCH("Gin", C279)), ISNUMBER(SEARCH("Gin", D279))), "Gin",
IF(OR(ISNUMBER(SEARCH("Liqueur", C279)), ISNUMBER(SEARCH("Liqueur", D279))), "Liqueur", "")))))</f>
        <v/>
      </c>
      <c r="C279" s="58" t="n"/>
      <c r="D279" s="51" t="inlineStr">
        <is>
          <t>Nueveuno Organic Blanco Tequila (750mL/item) - $43.48 1</t>
        </is>
      </c>
      <c r="E279" s="52" t="n">
        <v>750</v>
      </c>
      <c r="F279" s="51">
        <f>TRIM(MID(D279, FIND("$", D279), FIND(" ", D279, FIND("$", D279)) - FIND("$", D279))
)</f>
        <v/>
      </c>
      <c r="G279" s="53" t="n">
        <v>29.57</v>
      </c>
      <c r="H279" s="54">
        <f>SUM(E279/G279)</f>
        <v/>
      </c>
      <c r="I279" s="104">
        <f>SUM(F279/H279)</f>
        <v/>
      </c>
      <c r="J279" s="105">
        <f>SUM(4*I279)</f>
        <v/>
      </c>
      <c r="K279" s="100">
        <f>SUM(I279*1.5)</f>
        <v/>
      </c>
      <c r="L279" s="101">
        <f>SUM(K279*4)</f>
        <v/>
      </c>
      <c r="M279" s="102">
        <f>SUM(I279*2)</f>
        <v/>
      </c>
      <c r="N279" s="103">
        <f>SUM(M279*4)</f>
        <v/>
      </c>
    </row>
    <row r="280" ht="15.75" customHeight="1">
      <c r="A280" s="35" t="n">
        <v>160</v>
      </c>
      <c r="B280" s="49">
        <f>IF(OR(ISNUMBER(SEARCH("Tequila", C280)), ISNUMBER(SEARCH("Tequila", D280))), "Tequila",
IF(OR(ISNUMBER(SEARCH("Rum", C280)), ISNUMBER(SEARCH("Rum", D280))), "Rum",
IF(OR(ISNUMBER(SEARCH("Whiskey", C280)), ISNUMBER(SEARCH("Whiskey", D280))), "Whiskey",
IF(OR(ISNUMBER(SEARCH("Gin", C280)), ISNUMBER(SEARCH("Gin", D280))), "Gin",
IF(OR(ISNUMBER(SEARCH("Liqueur", C280)), ISNUMBER(SEARCH("Liqueur", D280))), "Liqueur", "")))))</f>
        <v/>
      </c>
      <c r="C280" s="52" t="n"/>
      <c r="D280" s="51" t="inlineStr">
        <is>
          <t>Nueveuno Organic Reposado Tequila (750mL/item) - $57.73 1</t>
        </is>
      </c>
      <c r="E280" s="52" t="n">
        <v>750</v>
      </c>
      <c r="F280" s="51">
        <f>TRIM(MID(D280, FIND("$", D280), FIND(" ", D280, FIND("$", D280)) - FIND("$", D280))
)</f>
        <v/>
      </c>
      <c r="G280" s="53" t="n">
        <v>29.57</v>
      </c>
      <c r="H280" s="54">
        <f>SUM(E280/G280)</f>
        <v/>
      </c>
      <c r="I280" s="104">
        <f>SUM(F280/H280)</f>
        <v/>
      </c>
      <c r="J280" s="105">
        <f>SUM(4*I280)</f>
        <v/>
      </c>
      <c r="K280" s="100">
        <f>SUM(I280*1.5)</f>
        <v/>
      </c>
      <c r="L280" s="101">
        <f>SUM(K280*4)</f>
        <v/>
      </c>
      <c r="M280" s="102">
        <f>SUM(I280*2)</f>
        <v/>
      </c>
      <c r="N280" s="103">
        <f>SUM(M280*4)</f>
        <v/>
      </c>
    </row>
    <row r="281" ht="15.75" customHeight="1">
      <c r="A281" s="35" t="n">
        <v>274</v>
      </c>
      <c r="B281" s="49">
        <f>IF(OR(ISNUMBER(SEARCH("Tequila", C281)), ISNUMBER(SEARCH("Tequila", D281))), "Tequila",
IF(OR(ISNUMBER(SEARCH("Rum", C281)), ISNUMBER(SEARCH("Rum", D281))), "Rum",
IF(OR(ISNUMBER(SEARCH("Whiskey", C281)), ISNUMBER(SEARCH("Whiskey", D281))), "Whiskey",
IF(OR(ISNUMBER(SEARCH("Gin", C281)), ISNUMBER(SEARCH("Gin", D281))), "Gin",
IF(OR(ISNUMBER(SEARCH("Liqueur", C281)), ISNUMBER(SEARCH("Liqueur", D281))), "Liqueur", "")))))</f>
        <v/>
      </c>
      <c r="C281" s="52" t="n"/>
      <c r="D281" s="51" t="n"/>
      <c r="E281" s="52" t="n"/>
      <c r="F281" s="51" t="n"/>
      <c r="G281" s="53" t="n"/>
      <c r="H281" s="54" t="n"/>
      <c r="I281" s="104" t="n"/>
      <c r="J281" s="105" t="n"/>
      <c r="K281" s="100" t="n"/>
      <c r="L281" s="101" t="n"/>
      <c r="M281" s="102" t="n"/>
      <c r="N281" s="103" t="n"/>
    </row>
    <row r="282" ht="15.75" customHeight="1">
      <c r="A282" s="35" t="n">
        <v>161</v>
      </c>
      <c r="B282" s="49">
        <f>IF(OR(ISNUMBER(SEARCH("Tequila", C282)), ISNUMBER(SEARCH("Tequila", D282))), "Tequila",
IF(OR(ISNUMBER(SEARCH("Rum", C282)), ISNUMBER(SEARCH("Rum", D282))), "Rum",
IF(OR(ISNUMBER(SEARCH("Whiskey", C282)), ISNUMBER(SEARCH("Whiskey", D282))), "Whiskey",
IF(OR(ISNUMBER(SEARCH("Gin", C282)), ISNUMBER(SEARCH("Gin", D282))), "Gin",
IF(OR(ISNUMBER(SEARCH("Liqueur", C282)), ISNUMBER(SEARCH("Liqueur", D282))), "Liqueur", "")))))</f>
        <v/>
      </c>
      <c r="C282" s="52" t="n"/>
      <c r="D282" s="51" t="inlineStr">
        <is>
          <t>Olmeca Altos Anejo Tequila (750mL/item) - $35.00 1</t>
        </is>
      </c>
      <c r="E282" s="52" t="n">
        <v>750</v>
      </c>
      <c r="F282" s="51">
        <f>TRIM(MID(D282, FIND("$", D282), FIND(" ", D282, FIND("$", D282)) - FIND("$", D282))
)</f>
        <v/>
      </c>
      <c r="G282" s="53" t="n">
        <v>29.57</v>
      </c>
      <c r="H282" s="54">
        <f>SUM(E282/G282)</f>
        <v/>
      </c>
      <c r="I282" s="104">
        <f>SUM(F282/H282)</f>
        <v/>
      </c>
      <c r="J282" s="105">
        <f>SUM(4*I282)</f>
        <v/>
      </c>
      <c r="K282" s="100">
        <f>SUM(I282*1.5)</f>
        <v/>
      </c>
      <c r="L282" s="101">
        <f>SUM(K282*4)</f>
        <v/>
      </c>
      <c r="M282" s="102">
        <f>SUM(I282*2)</f>
        <v/>
      </c>
      <c r="N282" s="103">
        <f>SUM(M282*4)</f>
        <v/>
      </c>
    </row>
    <row r="283" ht="15.75" customHeight="1">
      <c r="A283" s="35" t="n">
        <v>162</v>
      </c>
      <c r="B283" s="49">
        <f>IF(OR(ISNUMBER(SEARCH("Tequila", C283)), ISNUMBER(SEARCH("Tequila", D283))), "Tequila",
IF(OR(ISNUMBER(SEARCH("Rum", C283)), ISNUMBER(SEARCH("Rum", D283))), "Rum",
IF(OR(ISNUMBER(SEARCH("Whiskey", C283)), ISNUMBER(SEARCH("Whiskey", D283))), "Whiskey",
IF(OR(ISNUMBER(SEARCH("Gin", C283)), ISNUMBER(SEARCH("Gin", D283))), "Gin",
IF(OR(ISNUMBER(SEARCH("Liqueur", C283)), ISNUMBER(SEARCH("Liqueur", D283))), "Liqueur", "")))))</f>
        <v/>
      </c>
      <c r="C283" s="52" t="n"/>
      <c r="D283" s="51" t="inlineStr">
        <is>
          <t>Olmeca Altos Plata Tequila (750mL/item) - $29.14 2</t>
        </is>
      </c>
      <c r="E283" s="52" t="n">
        <v>750</v>
      </c>
      <c r="F283" s="51">
        <f>TRIM(MID(D283, FIND("$", D283), FIND(" ", D283, FIND("$", D283)) - FIND("$", D283))
)</f>
        <v/>
      </c>
      <c r="G283" s="53" t="n">
        <v>29.57</v>
      </c>
      <c r="H283" s="54">
        <f>SUM(E283/G283)</f>
        <v/>
      </c>
      <c r="I283" s="104">
        <f>SUM(F283/H283)</f>
        <v/>
      </c>
      <c r="J283" s="105">
        <f>SUM(4*I283)</f>
        <v/>
      </c>
      <c r="K283" s="100">
        <f>SUM(I283*1.5)</f>
        <v/>
      </c>
      <c r="L283" s="101">
        <f>SUM(K283*4)</f>
        <v/>
      </c>
      <c r="M283" s="102">
        <f>SUM(I283*2)</f>
        <v/>
      </c>
      <c r="N283" s="103">
        <f>SUM(M283*4)</f>
        <v/>
      </c>
    </row>
    <row r="284" ht="15.75" customHeight="1">
      <c r="A284" s="35" t="n">
        <v>163</v>
      </c>
      <c r="B284" s="49">
        <f>IF(OR(ISNUMBER(SEARCH("Tequila", C284)), ISNUMBER(SEARCH("Tequila", D284))), "Tequila",
IF(OR(ISNUMBER(SEARCH("Rum", C284)), ISNUMBER(SEARCH("Rum", D284))), "Rum",
IF(OR(ISNUMBER(SEARCH("Whiskey", C284)), ISNUMBER(SEARCH("Whiskey", D284))), "Whiskey",
IF(OR(ISNUMBER(SEARCH("Gin", C284)), ISNUMBER(SEARCH("Gin", D284))), "Gin",
IF(OR(ISNUMBER(SEARCH("Liqueur", C284)), ISNUMBER(SEARCH("Liqueur", D284))), "Liqueur", "")))))</f>
        <v/>
      </c>
      <c r="C284" s="52" t="n"/>
      <c r="D284" s="51" t="inlineStr">
        <is>
          <t>Olmeca Altos Reposado Tequila (750mL/item) - $29.14 2</t>
        </is>
      </c>
      <c r="E284" s="52" t="n">
        <v>750</v>
      </c>
      <c r="F284" s="51">
        <f>TRIM(MID(D284, FIND("$", D284), FIND(" ", D284, FIND("$", D284)) - FIND("$", D284))
)</f>
        <v/>
      </c>
      <c r="G284" s="53" t="n">
        <v>29.57</v>
      </c>
      <c r="H284" s="54">
        <f>SUM(E284/G284)</f>
        <v/>
      </c>
      <c r="I284" s="104">
        <f>SUM(F284/H284)</f>
        <v/>
      </c>
      <c r="J284" s="105">
        <f>SUM(4*I284)</f>
        <v/>
      </c>
      <c r="K284" s="100">
        <f>SUM(I284*1.5)</f>
        <v/>
      </c>
      <c r="L284" s="101">
        <f>SUM(K284*4)</f>
        <v/>
      </c>
      <c r="M284" s="102">
        <f>SUM(I284*2)</f>
        <v/>
      </c>
      <c r="N284" s="103">
        <f>SUM(M284*4)</f>
        <v/>
      </c>
    </row>
    <row r="285" ht="15.75" customHeight="1">
      <c r="A285" s="35" t="n">
        <v>199</v>
      </c>
      <c r="B285" s="49">
        <f>IF(OR(ISNUMBER(SEARCH("Tequila", C285)), ISNUMBER(SEARCH("Tequila", D285))), "Tequila",
IF(OR(ISNUMBER(SEARCH("Rum", C285)), ISNUMBER(SEARCH("Rum", D285))), "Rum",
IF(OR(ISNUMBER(SEARCH("Whiskey", C285)), ISNUMBER(SEARCH("Whiskey", D285))), "Whiskey",
IF(OR(ISNUMBER(SEARCH("Gin", C285)), ISNUMBER(SEARCH("Gin", D285))), "Gin",
IF(OR(ISNUMBER(SEARCH("Liqueur", C285)), ISNUMBER(SEARCH("Liqueur", D285))), "Liqueur", "")))))</f>
        <v/>
      </c>
      <c r="C285" s="58" t="n"/>
      <c r="D285" s="51" t="inlineStr">
        <is>
          <t>Paladar Blanco Tequila (750mL/item) - $46.20 1</t>
        </is>
      </c>
      <c r="E285" s="52" t="n">
        <v>750</v>
      </c>
      <c r="F285" s="51">
        <f>TRIM(MID(D285, FIND("$", D285), FIND(" ", D285, FIND("$", D285)) - FIND("$", D285))
)</f>
        <v/>
      </c>
      <c r="G285" s="53" t="n">
        <v>29.57</v>
      </c>
      <c r="H285" s="54">
        <f>SUM(E285/G285)</f>
        <v/>
      </c>
      <c r="I285" s="104">
        <f>SUM(F285/H285)</f>
        <v/>
      </c>
      <c r="J285" s="105">
        <f>SUM(4*I285)</f>
        <v/>
      </c>
      <c r="K285" s="100">
        <f>SUM(I285*1.5)</f>
        <v/>
      </c>
      <c r="L285" s="101">
        <f>SUM(K285*4)</f>
        <v/>
      </c>
      <c r="M285" s="102">
        <f>SUM(I285*2)</f>
        <v/>
      </c>
      <c r="N285" s="103">
        <f>SUM(M285*4)</f>
        <v/>
      </c>
    </row>
    <row r="286" ht="15.75" customHeight="1">
      <c r="A286" s="35" t="n">
        <v>200</v>
      </c>
      <c r="B286" s="49">
        <f>IF(OR(ISNUMBER(SEARCH("Tequila", C286)), ISNUMBER(SEARCH("Tequila", D286))), "Tequila",
IF(OR(ISNUMBER(SEARCH("Rum", C286)), ISNUMBER(SEARCH("Rum", D286))), "Rum",
IF(OR(ISNUMBER(SEARCH("Whiskey", C286)), ISNUMBER(SEARCH("Whiskey", D286))), "Whiskey",
IF(OR(ISNUMBER(SEARCH("Gin", C286)), ISNUMBER(SEARCH("Gin", D286))), "Gin",
IF(OR(ISNUMBER(SEARCH("Liqueur", C286)), ISNUMBER(SEARCH("Liqueur", D286))), "Liqueur", "")))))</f>
        <v/>
      </c>
      <c r="C286" s="52" t="n"/>
      <c r="D286" s="51" t="inlineStr">
        <is>
          <t>Paladar Reposado Tequila (750mL/item) - $52.50 1</t>
        </is>
      </c>
      <c r="E286" s="52" t="n">
        <v>750</v>
      </c>
      <c r="F286" s="51">
        <f>TRIM(MID(D286, FIND("$", D286), FIND(" ", D286, FIND("$", D286)) - FIND("$", D286))
)</f>
        <v/>
      </c>
      <c r="G286" s="53" t="n">
        <v>29.57</v>
      </c>
      <c r="H286" s="54">
        <f>SUM(E286/G286)</f>
        <v/>
      </c>
      <c r="I286" s="104">
        <f>SUM(F286/H286)</f>
        <v/>
      </c>
      <c r="J286" s="105">
        <f>SUM(4*I286)</f>
        <v/>
      </c>
      <c r="K286" s="100">
        <f>SUM(I286*1.5)</f>
        <v/>
      </c>
      <c r="L286" s="101">
        <f>SUM(K286*4)</f>
        <v/>
      </c>
      <c r="M286" s="102">
        <f>SUM(I286*2)</f>
        <v/>
      </c>
      <c r="N286" s="103">
        <f>SUM(M286*4)</f>
        <v/>
      </c>
    </row>
    <row r="287" ht="15.75" customHeight="1">
      <c r="A287" s="35" t="n">
        <v>292</v>
      </c>
      <c r="B287" s="49">
        <f>IF(OR(ISNUMBER(SEARCH("Tequila", C287)), ISNUMBER(SEARCH("Tequila", D287))), "Tequila",
IF(OR(ISNUMBER(SEARCH("Rum", C287)), ISNUMBER(SEARCH("Rum", D287))), "Rum",
IF(OR(ISNUMBER(SEARCH("Whiskey", C287)), ISNUMBER(SEARCH("Whiskey", D287))), "Whiskey",
IF(OR(ISNUMBER(SEARCH("Gin", C287)), ISNUMBER(SEARCH("Gin", D287))), "Gin",
IF(OR(ISNUMBER(SEARCH("Liqueur", C287)), ISNUMBER(SEARCH("Liqueur", D287))), "Liqueur", "")))))</f>
        <v/>
      </c>
      <c r="C287" s="52" t="n"/>
      <c r="D287" s="51" t="inlineStr">
        <is>
          <t>Partida Roble Fin Reposado Tequila (750mL/item) - $91.79 5</t>
        </is>
      </c>
      <c r="E287" s="52" t="n">
        <v>750</v>
      </c>
      <c r="F287" s="51">
        <f>TRIM(MID(D287, FIND("$", D287), FIND(" ", D287, FIND("$", D287)) - FIND("$", D287))
)</f>
        <v/>
      </c>
      <c r="G287" s="53" t="n">
        <v>29.57</v>
      </c>
      <c r="H287" s="54">
        <f>SUM(E287/G287)</f>
        <v/>
      </c>
      <c r="I287" s="104">
        <f>SUM(F287/H287)</f>
        <v/>
      </c>
      <c r="J287" s="105">
        <f>SUM(4*I287)</f>
        <v/>
      </c>
      <c r="K287" s="100">
        <f>SUM(I287*1.5)</f>
        <v/>
      </c>
      <c r="L287" s="101">
        <f>SUM(K287*4)</f>
        <v/>
      </c>
      <c r="M287" s="102">
        <f>SUM(I287*2)</f>
        <v/>
      </c>
      <c r="N287" s="103">
        <f>SUM(M287*4)</f>
        <v/>
      </c>
    </row>
    <row r="288" ht="15.75" customHeight="1">
      <c r="A288" s="35" t="n">
        <v>190</v>
      </c>
      <c r="B288" s="49">
        <f>IF(OR(ISNUMBER(SEARCH("Tequila", C288)), ISNUMBER(SEARCH("Tequila", D288))), "Tequila",
IF(OR(ISNUMBER(SEARCH("Rum", C288)), ISNUMBER(SEARCH("Rum", D288))), "Rum",
IF(OR(ISNUMBER(SEARCH("Whiskey", C288)), ISNUMBER(SEARCH("Whiskey", D288))), "Whiskey",
IF(OR(ISNUMBER(SEARCH("Gin", C288)), ISNUMBER(SEARCH("Gin", D288))), "Gin",
IF(OR(ISNUMBER(SEARCH("Liqueur", C288)), ISNUMBER(SEARCH("Liqueur", D288))), "Liqueur", "")))))</f>
        <v/>
      </c>
      <c r="C288" s="52" t="n"/>
      <c r="D288" s="51" t="inlineStr">
        <is>
          <t>Pasote Anejo Tequila (750mL/item) - $51.74 2</t>
        </is>
      </c>
      <c r="E288" s="52" t="n">
        <v>750</v>
      </c>
      <c r="F288" s="51">
        <f>TRIM(MID(D288, FIND("$", D288), FIND(" ", D288, FIND("$", D288)) - FIND("$", D288))
)</f>
        <v/>
      </c>
      <c r="G288" s="53" t="n">
        <v>29.57</v>
      </c>
      <c r="H288" s="54">
        <f>SUM(E288/G288)</f>
        <v/>
      </c>
      <c r="I288" s="104">
        <f>SUM(F288/H288)</f>
        <v/>
      </c>
      <c r="J288" s="105">
        <f>SUM(4*I288)</f>
        <v/>
      </c>
      <c r="K288" s="100">
        <f>SUM(I288*1.5)</f>
        <v/>
      </c>
      <c r="L288" s="101">
        <f>SUM(K288*4)</f>
        <v/>
      </c>
      <c r="M288" s="102">
        <f>SUM(I288*2)</f>
        <v/>
      </c>
      <c r="N288" s="103">
        <f>SUM(M288*4)</f>
        <v/>
      </c>
    </row>
    <row r="289" ht="15.75" customHeight="1">
      <c r="A289" s="35" t="n">
        <v>188</v>
      </c>
      <c r="B289" s="49">
        <f>IF(OR(ISNUMBER(SEARCH("Tequila", C289)), ISNUMBER(SEARCH("Tequila", D289))), "Tequila",
IF(OR(ISNUMBER(SEARCH("Rum", C289)), ISNUMBER(SEARCH("Rum", D289))), "Rum",
IF(OR(ISNUMBER(SEARCH("Whiskey", C289)), ISNUMBER(SEARCH("Whiskey", D289))), "Whiskey",
IF(OR(ISNUMBER(SEARCH("Gin", C289)), ISNUMBER(SEARCH("Gin", D289))), "Gin",
IF(OR(ISNUMBER(SEARCH("Liqueur", C289)), ISNUMBER(SEARCH("Liqueur", D289))), "Liqueur", "")))))</f>
        <v/>
      </c>
      <c r="C289" s="58" t="n"/>
      <c r="D289" s="51" t="inlineStr">
        <is>
          <t>Pasote Blanco Tequila (750mL/item) - $38.72 2</t>
        </is>
      </c>
      <c r="E289" s="52" t="n">
        <v>750</v>
      </c>
      <c r="F289" s="51">
        <f>TRIM(MID(D289, FIND("$", D289), FIND(" ", D289, FIND("$", D289)) - FIND("$", D289))
)</f>
        <v/>
      </c>
      <c r="G289" s="53" t="n">
        <v>29.57</v>
      </c>
      <c r="H289" s="54">
        <f>SUM(E289/G289)</f>
        <v/>
      </c>
      <c r="I289" s="104">
        <f>SUM(F289/H289)</f>
        <v/>
      </c>
      <c r="J289" s="105">
        <f>SUM(4*I289)</f>
        <v/>
      </c>
      <c r="K289" s="100">
        <f>SUM(I289*1.5)</f>
        <v/>
      </c>
      <c r="L289" s="101">
        <f>SUM(K289*4)</f>
        <v/>
      </c>
      <c r="M289" s="102">
        <f>SUM(I289*2)</f>
        <v/>
      </c>
      <c r="N289" s="103">
        <f>SUM(M289*4)</f>
        <v/>
      </c>
    </row>
    <row r="290" ht="15.75" customHeight="1">
      <c r="A290" s="35" t="n">
        <v>189</v>
      </c>
      <c r="B290" s="49">
        <f>IF(OR(ISNUMBER(SEARCH("Tequila", C290)), ISNUMBER(SEARCH("Tequila", D290))), "Tequila",
IF(OR(ISNUMBER(SEARCH("Rum", C290)), ISNUMBER(SEARCH("Rum", D290))), "Rum",
IF(OR(ISNUMBER(SEARCH("Whiskey", C290)), ISNUMBER(SEARCH("Whiskey", D290))), "Whiskey",
IF(OR(ISNUMBER(SEARCH("Gin", C290)), ISNUMBER(SEARCH("Gin", D290))), "Gin",
IF(OR(ISNUMBER(SEARCH("Liqueur", C290)), ISNUMBER(SEARCH("Liqueur", D290))), "Liqueur", "")))))</f>
        <v/>
      </c>
      <c r="C290" s="52" t="n"/>
      <c r="D290" s="51" t="inlineStr">
        <is>
          <t>Pasote Reposado Tequila (750mL/item) - $45.23 2</t>
        </is>
      </c>
      <c r="E290" s="52" t="n">
        <v>750</v>
      </c>
      <c r="F290" s="51">
        <f>TRIM(MID(D290, FIND("$", D290), FIND(" ", D290, FIND("$", D290)) - FIND("$", D290))
)</f>
        <v/>
      </c>
      <c r="G290" s="53" t="n">
        <v>29.57</v>
      </c>
      <c r="H290" s="54">
        <f>SUM(E290/G290)</f>
        <v/>
      </c>
      <c r="I290" s="104">
        <f>SUM(F290/H290)</f>
        <v/>
      </c>
      <c r="J290" s="105">
        <f>SUM(4*I290)</f>
        <v/>
      </c>
      <c r="K290" s="100">
        <f>SUM(I290*1.5)</f>
        <v/>
      </c>
      <c r="L290" s="101">
        <f>SUM(K290*4)</f>
        <v/>
      </c>
      <c r="M290" s="102">
        <f>SUM(I290*2)</f>
        <v/>
      </c>
      <c r="N290" s="103">
        <f>SUM(M290*4)</f>
        <v/>
      </c>
    </row>
    <row r="291" ht="15.75" customHeight="1">
      <c r="A291" s="35" t="n">
        <v>164</v>
      </c>
      <c r="B291" s="49">
        <f>IF(OR(ISNUMBER(SEARCH("Tequila", C291)), ISNUMBER(SEARCH("Tequila", D291))), "Tequila",
IF(OR(ISNUMBER(SEARCH("Rum", C291)), ISNUMBER(SEARCH("Rum", D291))), "Rum",
IF(OR(ISNUMBER(SEARCH("Whiskey", C291)), ISNUMBER(SEARCH("Whiskey", D291))), "Whiskey",
IF(OR(ISNUMBER(SEARCH("Gin", C291)), ISNUMBER(SEARCH("Gin", D291))), "Gin",
IF(OR(ISNUMBER(SEARCH("Liqueur", C291)), ISNUMBER(SEARCH("Liqueur", D291))), "Liqueur", "")))))</f>
        <v/>
      </c>
      <c r="C291" s="52" t="n"/>
      <c r="D291" s="51" t="inlineStr">
        <is>
          <t>Patron Anejo Tequila (750mL/item) - $49.19 1</t>
        </is>
      </c>
      <c r="E291" s="52" t="n">
        <v>750</v>
      </c>
      <c r="F291" s="51">
        <f>TRIM(MID(D291, FIND("$", D291), FIND(" ", D291, FIND("$", D291)) - FIND("$", D291))
)</f>
        <v/>
      </c>
      <c r="G291" s="53" t="n">
        <v>29.57</v>
      </c>
      <c r="H291" s="54">
        <f>SUM(E291/G291)</f>
        <v/>
      </c>
      <c r="I291" s="104">
        <f>SUM(F291/H291)</f>
        <v/>
      </c>
      <c r="J291" s="105">
        <f>SUM(4*I291)</f>
        <v/>
      </c>
      <c r="K291" s="100">
        <f>SUM(I291*1.5)</f>
        <v/>
      </c>
      <c r="L291" s="101">
        <f>SUM(K291*4)</f>
        <v/>
      </c>
      <c r="M291" s="102">
        <f>SUM(I291*2)</f>
        <v/>
      </c>
      <c r="N291" s="103">
        <f>SUM(M291*4)</f>
        <v/>
      </c>
    </row>
    <row r="292" ht="15.75" customHeight="1">
      <c r="A292" s="35" t="n">
        <v>304</v>
      </c>
      <c r="B292" s="49">
        <f>IF(OR(ISNUMBER(SEARCH("Tequila", C292)), ISNUMBER(SEARCH("Tequila", D292))), "Tequila",
IF(OR(ISNUMBER(SEARCH("Rum", C292)), ISNUMBER(SEARCH("Rum", D292))), "Rum",
IF(OR(ISNUMBER(SEARCH("Whiskey", C292)), ISNUMBER(SEARCH("Whiskey", D292))), "Whiskey",
IF(OR(ISNUMBER(SEARCH("Gin", C292)), ISNUMBER(SEARCH("Gin", D292))), "Gin",
IF(OR(ISNUMBER(SEARCH("Liqueur", C292)), ISNUMBER(SEARCH("Liqueur", D292))), "Liqueur", "")))))</f>
        <v/>
      </c>
      <c r="C292" s="58" t="n"/>
      <c r="D292" s="51" t="inlineStr">
        <is>
          <t>Patron El Cielo Silver Tequila (750ML/item) - $103.18 6</t>
        </is>
      </c>
      <c r="E292" s="52" t="n">
        <v>750</v>
      </c>
      <c r="F292" s="51">
        <f>TRIM(MID(D292, FIND("$", D292), FIND(" ", D292, FIND("$", D292)) - FIND("$", D292))
)</f>
        <v/>
      </c>
      <c r="G292" s="53" t="n">
        <v>29.57</v>
      </c>
      <c r="H292" s="54">
        <f>SUM(E292/G292)</f>
        <v/>
      </c>
      <c r="I292" s="104">
        <f>SUM(F292/H292)</f>
        <v/>
      </c>
      <c r="J292" s="105">
        <f>SUM(4*I292)</f>
        <v/>
      </c>
      <c r="K292" s="100">
        <f>SUM(I292*1.5)</f>
        <v/>
      </c>
      <c r="L292" s="101">
        <f>SUM(K292*4)</f>
        <v/>
      </c>
      <c r="M292" s="102">
        <f>SUM(I292*2)</f>
        <v/>
      </c>
      <c r="N292" s="103">
        <f>SUM(M292*4)</f>
        <v/>
      </c>
    </row>
    <row r="293" ht="15.75" customHeight="1">
      <c r="A293" s="59" t="n"/>
      <c r="B293" s="49">
        <f>IF(OR(ISNUMBER(SEARCH("Tequila", C293)), ISNUMBER(SEARCH("Tequila", D293))), "Tequila",
IF(OR(ISNUMBER(SEARCH("Rum", C293)), ISNUMBER(SEARCH("Rum", D293))), "Rum",
IF(OR(ISNUMBER(SEARCH("Whiskey", C293)), ISNUMBER(SEARCH("Whiskey", D293))), "Whiskey",
IF(OR(ISNUMBER(SEARCH("Gin", C293)), ISNUMBER(SEARCH("Gin", D293))), "Gin",
IF(OR(ISNUMBER(SEARCH("Liqueur", C293)), ISNUMBER(SEARCH("Liqueur", D293))), "Liqueur", "")))))</f>
        <v/>
      </c>
      <c r="C293" s="50" t="n"/>
      <c r="D293" s="60" t="inlineStr">
        <is>
          <t>Patron Extra Anejo Tequila (750mL) $71.25 2</t>
        </is>
      </c>
      <c r="E293" s="52" t="n">
        <v>750</v>
      </c>
      <c r="F293" s="51">
        <f>TRIM(MID(D293, FIND("$", D293), FIND(" ", D293, FIND("$", D293)) - FIND("$", D293))
)</f>
        <v/>
      </c>
      <c r="G293" s="53" t="n">
        <v>29.57</v>
      </c>
      <c r="H293" s="54">
        <f>SUM(E293/G293)</f>
        <v/>
      </c>
      <c r="I293" s="104">
        <f>SUM(F293/H293)</f>
        <v/>
      </c>
      <c r="J293" s="105">
        <f>SUM(4*I293)</f>
        <v/>
      </c>
      <c r="K293" s="100">
        <f>SUM(I293*1.5)</f>
        <v/>
      </c>
      <c r="L293" s="101">
        <f>SUM(K293*4)</f>
        <v/>
      </c>
      <c r="M293" s="102">
        <f>SUM(I293*2)</f>
        <v/>
      </c>
      <c r="N293" s="103">
        <f>SUM(M293*4)</f>
        <v/>
      </c>
    </row>
    <row r="294" ht="15.75" customHeight="1">
      <c r="A294" s="35" t="n">
        <v>165</v>
      </c>
      <c r="B294" s="49">
        <f>IF(OR(ISNUMBER(SEARCH("Tequila", C294)), ISNUMBER(SEARCH("Tequila", D294))), "Tequila",
IF(OR(ISNUMBER(SEARCH("Rum", C294)), ISNUMBER(SEARCH("Rum", D294))), "Rum",
IF(OR(ISNUMBER(SEARCH("Whiskey", C294)), ISNUMBER(SEARCH("Whiskey", D294))), "Whiskey",
IF(OR(ISNUMBER(SEARCH("Gin", C294)), ISNUMBER(SEARCH("Gin", D294))), "Gin",
IF(OR(ISNUMBER(SEARCH("Liqueur", C294)), ISNUMBER(SEARCH("Liqueur", D294))), "Liqueur", "")))))</f>
        <v/>
      </c>
      <c r="C294" s="50" t="n"/>
      <c r="D294" s="51" t="inlineStr">
        <is>
          <t>Patron Extra Anejo Tequila (750mL/item) - $71.25 1</t>
        </is>
      </c>
      <c r="E294" s="52" t="n">
        <v>750</v>
      </c>
      <c r="F294" s="51">
        <f>TRIM(MID(D294, FIND("$", D294), FIND(" ", D294, FIND("$", D294)) - FIND("$", D294))
)</f>
        <v/>
      </c>
      <c r="G294" s="53" t="n">
        <v>29.57</v>
      </c>
      <c r="H294" s="54">
        <f>SUM(E294/G294)</f>
        <v/>
      </c>
      <c r="I294" s="104">
        <f>SUM(F294/H294)</f>
        <v/>
      </c>
      <c r="J294" s="105">
        <f>SUM(4*I294)</f>
        <v/>
      </c>
      <c r="K294" s="100">
        <f>SUM(I294*1.5)</f>
        <v/>
      </c>
      <c r="L294" s="101">
        <f>SUM(K294*4)</f>
        <v/>
      </c>
      <c r="M294" s="102">
        <f>SUM(I294*2)</f>
        <v/>
      </c>
      <c r="N294" s="103">
        <f>SUM(M294*4)</f>
        <v/>
      </c>
    </row>
    <row r="295" ht="15.75" customHeight="1">
      <c r="A295" s="35" t="n">
        <v>166</v>
      </c>
      <c r="B295" s="49">
        <f>IF(OR(ISNUMBER(SEARCH("Tequila", C295)), ISNUMBER(SEARCH("Tequila", D295))), "Tequila",
IF(OR(ISNUMBER(SEARCH("Rum", C295)), ISNUMBER(SEARCH("Rum", D295))), "Rum",
IF(OR(ISNUMBER(SEARCH("Whiskey", C295)), ISNUMBER(SEARCH("Whiskey", D295))), "Whiskey",
IF(OR(ISNUMBER(SEARCH("Gin", C295)), ISNUMBER(SEARCH("Gin", D295))), "Gin",
IF(OR(ISNUMBER(SEARCH("Liqueur", C295)), ISNUMBER(SEARCH("Liqueur", D295))), "Liqueur", "")))))</f>
        <v/>
      </c>
      <c r="C295" s="50" t="n"/>
      <c r="D295" s="51" t="inlineStr">
        <is>
          <t>Patron Gran Piedra Extra Anejo Tequila (750mL/item) - $278.62 3</t>
        </is>
      </c>
      <c r="E295" s="52" t="n">
        <v>750</v>
      </c>
      <c r="F295" s="51">
        <f>TRIM(MID(D295, FIND("$", D295), FIND(" ", D295, FIND("$", D295)) - FIND("$", D295))
)</f>
        <v/>
      </c>
      <c r="G295" s="53" t="n">
        <v>29.57</v>
      </c>
      <c r="H295" s="54">
        <f>SUM(E295/G295)</f>
        <v/>
      </c>
      <c r="I295" s="104">
        <f>SUM(F295/H295)</f>
        <v/>
      </c>
      <c r="J295" s="105">
        <f>SUM(4*I295)</f>
        <v/>
      </c>
      <c r="K295" s="100">
        <f>SUM(I295*1.5)</f>
        <v/>
      </c>
      <c r="L295" s="101">
        <f>SUM(K295*4)</f>
        <v/>
      </c>
      <c r="M295" s="102">
        <f>SUM(I295*2)</f>
        <v/>
      </c>
      <c r="N295" s="103">
        <f>SUM(M295*4)</f>
        <v/>
      </c>
    </row>
    <row r="296" ht="15.75" customHeight="1">
      <c r="A296" s="35" t="n">
        <v>167</v>
      </c>
      <c r="B296" s="49">
        <f>IF(OR(ISNUMBER(SEARCH("Tequila", C296)), ISNUMBER(SEARCH("Tequila", D296))), "Tequila",
IF(OR(ISNUMBER(SEARCH("Rum", C296)), ISNUMBER(SEARCH("Rum", D296))), "Rum",
IF(OR(ISNUMBER(SEARCH("Whiskey", C296)), ISNUMBER(SEARCH("Whiskey", D296))), "Whiskey",
IF(OR(ISNUMBER(SEARCH("Gin", C296)), ISNUMBER(SEARCH("Gin", D296))), "Gin",
IF(OR(ISNUMBER(SEARCH("Liqueur", C296)), ISNUMBER(SEARCH("Liqueur", D296))), "Liqueur", "")))))</f>
        <v/>
      </c>
      <c r="C296" s="52" t="n"/>
      <c r="D296" s="51" t="inlineStr">
        <is>
          <t>Patron Gran Platinum Tequila (750mL/item) - $153.62 3</t>
        </is>
      </c>
      <c r="E296" s="52" t="n">
        <v>750</v>
      </c>
      <c r="F296" s="51">
        <f>TRIM(MID(D296, FIND("$", D296), FIND(" ", D296, FIND("$", D296)) - FIND("$", D296))
)</f>
        <v/>
      </c>
      <c r="G296" s="53" t="n">
        <v>29.57</v>
      </c>
      <c r="H296" s="54">
        <f>SUM(E296/G296)</f>
        <v/>
      </c>
      <c r="I296" s="104">
        <f>SUM(F296/H296)</f>
        <v/>
      </c>
      <c r="J296" s="105">
        <f>SUM(4*I296)</f>
        <v/>
      </c>
      <c r="K296" s="100">
        <f>SUM(I296*1.5)</f>
        <v/>
      </c>
      <c r="L296" s="101">
        <f>SUM(K296*4)</f>
        <v/>
      </c>
      <c r="M296" s="102">
        <f>SUM(I296*2)</f>
        <v/>
      </c>
      <c r="N296" s="103">
        <f>SUM(M296*4)</f>
        <v/>
      </c>
    </row>
    <row r="297" ht="15.75" customHeight="1">
      <c r="A297" s="35" t="n">
        <v>168</v>
      </c>
      <c r="B297" s="49">
        <f>IF(OR(ISNUMBER(SEARCH("Tequila", C297)), ISNUMBER(SEARCH("Tequila", D297))), "Tequila",
IF(OR(ISNUMBER(SEARCH("Rum", C297)), ISNUMBER(SEARCH("Rum", D297))), "Rum",
IF(OR(ISNUMBER(SEARCH("Whiskey", C297)), ISNUMBER(SEARCH("Whiskey", D297))), "Whiskey",
IF(OR(ISNUMBER(SEARCH("Gin", C297)), ISNUMBER(SEARCH("Gin", D297))), "Gin",
IF(OR(ISNUMBER(SEARCH("Liqueur", C297)), ISNUMBER(SEARCH("Liqueur", D297))), "Liqueur", "")))))</f>
        <v/>
      </c>
      <c r="C297" s="52" t="n"/>
      <c r="D297" s="51" t="inlineStr">
        <is>
          <t>Patron Reposado Tequila (750ML/item) - $45.11 1</t>
        </is>
      </c>
      <c r="E297" s="52" t="n">
        <v>750</v>
      </c>
      <c r="F297" s="51">
        <f>TRIM(MID(D297, FIND("$", D297), FIND(" ", D297, FIND("$", D297)) - FIND("$", D297))
)</f>
        <v/>
      </c>
      <c r="G297" s="53" t="n">
        <v>29.57</v>
      </c>
      <c r="H297" s="54">
        <f>SUM(E297/G297)</f>
        <v/>
      </c>
      <c r="I297" s="104">
        <f>SUM(F297/H297)</f>
        <v/>
      </c>
      <c r="J297" s="105">
        <f>SUM(4*I297)</f>
        <v/>
      </c>
      <c r="K297" s="100">
        <f>SUM(I297*1.5)</f>
        <v/>
      </c>
      <c r="L297" s="101">
        <f>SUM(K297*4)</f>
        <v/>
      </c>
      <c r="M297" s="102">
        <f>SUM(I297*2)</f>
        <v/>
      </c>
      <c r="N297" s="103">
        <f>SUM(M297*4)</f>
        <v/>
      </c>
    </row>
    <row r="298" ht="15.75" customHeight="1">
      <c r="A298" s="35" t="n">
        <v>169</v>
      </c>
      <c r="B298" s="49">
        <f>IF(OR(ISNUMBER(SEARCH("Tequila", C298)), ISNUMBER(SEARCH("Tequila", D298))), "Tequila",
IF(OR(ISNUMBER(SEARCH("Rum", C298)), ISNUMBER(SEARCH("Rum", D298))), "Rum",
IF(OR(ISNUMBER(SEARCH("Whiskey", C298)), ISNUMBER(SEARCH("Whiskey", D298))), "Whiskey",
IF(OR(ISNUMBER(SEARCH("Gin", C298)), ISNUMBER(SEARCH("Gin", D298))), "Gin",
IF(OR(ISNUMBER(SEARCH("Liqueur", C298)), ISNUMBER(SEARCH("Liqueur", D298))), "Liqueur", "")))))</f>
        <v/>
      </c>
      <c r="C298" s="58" t="n"/>
      <c r="D298" s="51" t="inlineStr">
        <is>
          <t>Patron Silver Tequila (750mL/item) - $41.02 6</t>
        </is>
      </c>
      <c r="E298" s="52" t="n">
        <v>750</v>
      </c>
      <c r="F298" s="51">
        <f>TRIM(MID(D298, FIND("$", D298), FIND(" ", D298, FIND("$", D298)) - FIND("$", D298))
)</f>
        <v/>
      </c>
      <c r="G298" s="53" t="n">
        <v>29.57</v>
      </c>
      <c r="H298" s="54">
        <f>SUM(E298/G298)</f>
        <v/>
      </c>
      <c r="I298" s="104">
        <f>SUM(F298/H298)</f>
        <v/>
      </c>
      <c r="J298" s="105">
        <f>SUM(4*I298)</f>
        <v/>
      </c>
      <c r="K298" s="100">
        <f>SUM(I298*1.5)</f>
        <v/>
      </c>
      <c r="L298" s="101">
        <f>SUM(K298*4)</f>
        <v/>
      </c>
      <c r="M298" s="102">
        <f>SUM(I298*2)</f>
        <v/>
      </c>
      <c r="N298" s="103">
        <f>SUM(M298*4)</f>
        <v/>
      </c>
    </row>
    <row r="299" ht="15.75" customHeight="1">
      <c r="A299" s="35" t="n">
        <v>255</v>
      </c>
      <c r="B299" s="49">
        <f>IF(OR(ISNUMBER(SEARCH("Tequila", C299)), ISNUMBER(SEARCH("Tequila", D299))), "Tequila",
IF(OR(ISNUMBER(SEARCH("Rum", C299)), ISNUMBER(SEARCH("Rum", D299))), "Rum",
IF(OR(ISNUMBER(SEARCH("Whiskey", C299)), ISNUMBER(SEARCH("Whiskey", D299))), "Whiskey",
IF(OR(ISNUMBER(SEARCH("Gin", C299)), ISNUMBER(SEARCH("Gin", D299))), "Gin",
IF(OR(ISNUMBER(SEARCH("Liqueur", C299)), ISNUMBER(SEARCH("Liqueur", D299))), "Liqueur", "")))))</f>
        <v/>
      </c>
      <c r="C299" s="52" t="n"/>
      <c r="D299" s="51" t="n"/>
      <c r="E299" s="52" t="n"/>
      <c r="F299" s="51" t="n"/>
      <c r="G299" s="53" t="n"/>
      <c r="H299" s="54" t="n"/>
      <c r="I299" s="104" t="n"/>
      <c r="J299" s="105" t="n"/>
      <c r="K299" s="100" t="n"/>
      <c r="L299" s="101" t="n"/>
      <c r="M299" s="102" t="n"/>
      <c r="N299" s="103" t="n"/>
    </row>
    <row r="300" ht="15.75" customHeight="1">
      <c r="A300" s="35" t="n">
        <v>275</v>
      </c>
      <c r="B300" s="49">
        <f>IF(OR(ISNUMBER(SEARCH("Tequila", C300)), ISNUMBER(SEARCH("Tequila", D300))), "Tequila",
IF(OR(ISNUMBER(SEARCH("Rum", C300)), ISNUMBER(SEARCH("Rum", D300))), "Rum",
IF(OR(ISNUMBER(SEARCH("Whiskey", C300)), ISNUMBER(SEARCH("Whiskey", D300))), "Whiskey",
IF(OR(ISNUMBER(SEARCH("Gin", C300)), ISNUMBER(SEARCH("Gin", D300))), "Gin",
IF(OR(ISNUMBER(SEARCH("Liqueur", C300)), ISNUMBER(SEARCH("Liqueur", D300))), "Liqueur", "")))))</f>
        <v/>
      </c>
      <c r="C300" s="52" t="n"/>
      <c r="D300" s="51" t="n"/>
      <c r="E300" s="52" t="n"/>
      <c r="F300" s="51" t="n"/>
      <c r="G300" s="53" t="n"/>
      <c r="H300" s="54" t="n"/>
      <c r="I300" s="104" t="n"/>
      <c r="J300" s="105" t="n"/>
      <c r="K300" s="100" t="n"/>
      <c r="L300" s="101" t="n"/>
      <c r="M300" s="102" t="n"/>
      <c r="N300" s="103" t="n"/>
    </row>
    <row r="301" ht="15.75" customHeight="1">
      <c r="A301" s="35" t="n">
        <v>201</v>
      </c>
      <c r="B301" s="49">
        <f>IF(OR(ISNUMBER(SEARCH("Tequila", C301)), ISNUMBER(SEARCH("Tequila", D301))), "Tequila",
IF(OR(ISNUMBER(SEARCH("Rum", C301)), ISNUMBER(SEARCH("Rum", D301))), "Rum",
IF(OR(ISNUMBER(SEARCH("Whiskey", C301)), ISNUMBER(SEARCH("Whiskey", D301))), "Whiskey",
IF(OR(ISNUMBER(SEARCH("Gin", C301)), ISNUMBER(SEARCH("Gin", D301))), "Gin",
IF(OR(ISNUMBER(SEARCH("Liqueur", C301)), ISNUMBER(SEARCH("Liqueur", D301))), "Liqueur", "")))))</f>
        <v/>
      </c>
      <c r="C301" s="58" t="n"/>
      <c r="D301" s="51" t="inlineStr">
        <is>
          <t>Primo 1861 Blanco Tequila (750mL/item) - $56.70 1</t>
        </is>
      </c>
      <c r="E301" s="52" t="n">
        <v>750</v>
      </c>
      <c r="F301" s="51">
        <f>TRIM(MID(D301, FIND("$", D301), FIND(" ", D301, FIND("$", D301)) - FIND("$", D301))
)</f>
        <v/>
      </c>
      <c r="G301" s="53" t="n">
        <v>29.57</v>
      </c>
      <c r="H301" s="54">
        <f>SUM(E301/G301)</f>
        <v/>
      </c>
      <c r="I301" s="104">
        <f>SUM(F301/H301)</f>
        <v/>
      </c>
      <c r="J301" s="105">
        <f>SUM(4*I301)</f>
        <v/>
      </c>
      <c r="K301" s="100">
        <f>SUM(I301*1.5)</f>
        <v/>
      </c>
      <c r="L301" s="101">
        <f>SUM(K301*4)</f>
        <v/>
      </c>
      <c r="M301" s="102">
        <f>SUM(I301*2)</f>
        <v/>
      </c>
      <c r="N301" s="103">
        <f>SUM(M301*4)</f>
        <v/>
      </c>
    </row>
    <row r="302" ht="15.75" customHeight="1">
      <c r="A302" s="59" t="n"/>
      <c r="B302" s="49">
        <f>IF(OR(ISNUMBER(SEARCH("Tequila", C302)), ISNUMBER(SEARCH("Tequila", D302))), "Tequila",
IF(OR(ISNUMBER(SEARCH("Rum", C302)), ISNUMBER(SEARCH("Rum", D302))), "Rum",
IF(OR(ISNUMBER(SEARCH("Whiskey", C302)), ISNUMBER(SEARCH("Whiskey", D302))), "Whiskey",
IF(OR(ISNUMBER(SEARCH("Gin", C302)), ISNUMBER(SEARCH("Gin", D302))), "Gin",
IF(OR(ISNUMBER(SEARCH("Liqueur", C302)), ISNUMBER(SEARCH("Liqueur", D302))), "Liqueur", "")))))</f>
        <v/>
      </c>
      <c r="C302" s="52" t="n"/>
      <c r="D302" s="60" t="inlineStr">
        <is>
          <t>Prolijo Mezcal Espadin 12yr Anejo (750mL) $177.78 1</t>
        </is>
      </c>
      <c r="E302" s="52" t="n">
        <v>750</v>
      </c>
      <c r="F302" s="51">
        <f>TRIM(MID(D302, FIND("$", D302), FIND(" ", D302, FIND("$", D302)) - FIND("$", D302))
)</f>
        <v/>
      </c>
      <c r="G302" s="53" t="n">
        <v>29.57</v>
      </c>
      <c r="H302" s="54">
        <f>SUM(E302/G302)</f>
        <v/>
      </c>
      <c r="I302" s="104">
        <f>SUM(F302/H302)</f>
        <v/>
      </c>
      <c r="J302" s="105">
        <f>SUM(4*I302)</f>
        <v/>
      </c>
      <c r="K302" s="100">
        <f>SUM(I302*1.5)</f>
        <v/>
      </c>
      <c r="L302" s="101">
        <f>SUM(K302*4)</f>
        <v/>
      </c>
      <c r="M302" s="102">
        <f>SUM(I302*2)</f>
        <v/>
      </c>
      <c r="N302" s="103">
        <f>SUM(M302*4)</f>
        <v/>
      </c>
    </row>
    <row r="303" ht="15.75" customHeight="1">
      <c r="A303" s="59" t="n"/>
      <c r="B303" s="49">
        <f>IF(OR(ISNUMBER(SEARCH("Tequila", C303)), ISNUMBER(SEARCH("Tequila", D303))), "Tequila",
IF(OR(ISNUMBER(SEARCH("Rum", C303)), ISNUMBER(SEARCH("Rum", D303))), "Rum",
IF(OR(ISNUMBER(SEARCH("Whiskey", C303)), ISNUMBER(SEARCH("Whiskey", D303))), "Whiskey",
IF(OR(ISNUMBER(SEARCH("Gin", C303)), ISNUMBER(SEARCH("Gin", D303))), "Gin",
IF(OR(ISNUMBER(SEARCH("Liqueur", C303)), ISNUMBER(SEARCH("Liqueur", D303))), "Liqueur", "")))))</f>
        <v/>
      </c>
      <c r="C303" s="52" t="n"/>
      <c r="D303" s="60" t="inlineStr">
        <is>
          <t>Prolijo Mezcal Espadin Joven (1L) $26.61 1</t>
        </is>
      </c>
      <c r="E303" s="52" t="n">
        <v>1000</v>
      </c>
      <c r="F303" s="51">
        <f>TRIM(MID(D303, FIND("$", D303), FIND(" ", D303, FIND("$", D303)) - FIND("$", D303))
)</f>
        <v/>
      </c>
      <c r="G303" s="53" t="n">
        <v>29.57</v>
      </c>
      <c r="H303" s="54">
        <f>SUM(E303/G303)</f>
        <v/>
      </c>
      <c r="I303" s="104">
        <f>SUM(F303/H303)</f>
        <v/>
      </c>
      <c r="J303" s="105">
        <f>SUM(4*I303)</f>
        <v/>
      </c>
      <c r="K303" s="100">
        <f>SUM(I303*1.5)</f>
        <v/>
      </c>
      <c r="L303" s="101">
        <f>SUM(K303*4)</f>
        <v/>
      </c>
      <c r="M303" s="102">
        <f>SUM(I303*2)</f>
        <v/>
      </c>
      <c r="N303" s="103">
        <f>SUM(M303*4)</f>
        <v/>
      </c>
    </row>
    <row r="304" ht="15.75" customHeight="1">
      <c r="A304" s="59" t="n"/>
      <c r="B304" s="49">
        <f>IF(OR(ISNUMBER(SEARCH("Tequila", C304)), ISNUMBER(SEARCH("Tequila", D304))), "Tequila",
IF(OR(ISNUMBER(SEARCH("Rum", C304)), ISNUMBER(SEARCH("Rum", D304))), "Rum",
IF(OR(ISNUMBER(SEARCH("Whiskey", C304)), ISNUMBER(SEARCH("Whiskey", D304))), "Whiskey",
IF(OR(ISNUMBER(SEARCH("Gin", C304)), ISNUMBER(SEARCH("Gin", D304))), "Gin",
IF(OR(ISNUMBER(SEARCH("Liqueur", C304)), ISNUMBER(SEARCH("Liqueur", D304))), "Liqueur", "")))))</f>
        <v/>
      </c>
      <c r="C304" s="52" t="n"/>
      <c r="D304" s="60" t="inlineStr">
        <is>
          <t>Prolijo Mezcal Espadin Madrecuishe (750mL) $83.81 1</t>
        </is>
      </c>
      <c r="E304" s="52" t="n">
        <v>750</v>
      </c>
      <c r="F304" s="51">
        <f>TRIM(MID(D304, FIND("$", D304), FIND(" ", D304, FIND("$", D304)) - FIND("$", D304))
)</f>
        <v/>
      </c>
      <c r="G304" s="53" t="n">
        <v>29.57</v>
      </c>
      <c r="H304" s="54">
        <f>SUM(E304/G304)</f>
        <v/>
      </c>
      <c r="I304" s="104">
        <f>SUM(F304/H304)</f>
        <v/>
      </c>
      <c r="J304" s="105">
        <f>SUM(4*I304)</f>
        <v/>
      </c>
      <c r="K304" s="100">
        <f>SUM(I304*1.5)</f>
        <v/>
      </c>
      <c r="L304" s="101">
        <f>SUM(K304*4)</f>
        <v/>
      </c>
      <c r="M304" s="102">
        <f>SUM(I304*2)</f>
        <v/>
      </c>
      <c r="N304" s="103">
        <f>SUM(M304*4)</f>
        <v/>
      </c>
    </row>
    <row r="305" ht="15.75" customHeight="1">
      <c r="A305" s="59" t="n"/>
      <c r="B305" s="49">
        <f>IF(OR(ISNUMBER(SEARCH("Tequila", C305)), ISNUMBER(SEARCH("Tequila", D305))), "Tequila",
IF(OR(ISNUMBER(SEARCH("Rum", C305)), ISNUMBER(SEARCH("Rum", D305))), "Rum",
IF(OR(ISNUMBER(SEARCH("Whiskey", C305)), ISNUMBER(SEARCH("Whiskey", D305))), "Whiskey",
IF(OR(ISNUMBER(SEARCH("Gin", C305)), ISNUMBER(SEARCH("Gin", D305))), "Gin",
IF(OR(ISNUMBER(SEARCH("Liqueur", C305)), ISNUMBER(SEARCH("Liqueur", D305))), "Liqueur", "")))))</f>
        <v/>
      </c>
      <c r="C305" s="52" t="n"/>
      <c r="D305" s="60" t="inlineStr">
        <is>
          <t>Prolijo Mezcal Espadin Pechuga (750mL) $104.23 1</t>
        </is>
      </c>
      <c r="E305" s="52" t="n">
        <v>750</v>
      </c>
      <c r="F305" s="51">
        <f>TRIM(MID(D305, FIND("$", D305), FIND(" ", D305, FIND("$", D305)) - FIND("$", D305))
)</f>
        <v/>
      </c>
      <c r="G305" s="53" t="n">
        <v>29.57</v>
      </c>
      <c r="H305" s="54">
        <f>SUM(E305/G305)</f>
        <v/>
      </c>
      <c r="I305" s="104">
        <f>SUM(F305/H305)</f>
        <v/>
      </c>
      <c r="J305" s="105">
        <f>SUM(4*I305)</f>
        <v/>
      </c>
      <c r="K305" s="100">
        <f>SUM(I305*1.5)</f>
        <v/>
      </c>
      <c r="L305" s="101">
        <f>SUM(K305*4)</f>
        <v/>
      </c>
      <c r="M305" s="102">
        <f>SUM(I305*2)</f>
        <v/>
      </c>
      <c r="N305" s="103">
        <f>SUM(M305*4)</f>
        <v/>
      </c>
    </row>
    <row r="306" ht="15.75" customHeight="1">
      <c r="A306" s="59" t="n"/>
      <c r="B306" s="49">
        <f>IF(OR(ISNUMBER(SEARCH("Tequila", C306)), ISNUMBER(SEARCH("Tequila", D306))), "Tequila",
IF(OR(ISNUMBER(SEARCH("Rum", C306)), ISNUMBER(SEARCH("Rum", D306))), "Rum",
IF(OR(ISNUMBER(SEARCH("Whiskey", C306)), ISNUMBER(SEARCH("Whiskey", D306))), "Whiskey",
IF(OR(ISNUMBER(SEARCH("Gin", C306)), ISNUMBER(SEARCH("Gin", D306))), "Gin",
IF(OR(ISNUMBER(SEARCH("Liqueur", C306)), ISNUMBER(SEARCH("Liqueur", D306))), "Liqueur", "")))))</f>
        <v/>
      </c>
      <c r="C306" s="52" t="n"/>
      <c r="D306" s="60" t="inlineStr">
        <is>
          <t>Prolijo Mezcal Espadin Tepeztate (750mL) $87.90 1</t>
        </is>
      </c>
      <c r="E306" s="52" t="n">
        <v>750</v>
      </c>
      <c r="F306" s="51">
        <f>TRIM(MID(D306, FIND("$", D306), FIND(" ", D306, FIND("$", D306)) - FIND("$", D306))
)</f>
        <v/>
      </c>
      <c r="G306" s="53" t="n">
        <v>29.57</v>
      </c>
      <c r="H306" s="54">
        <f>SUM(E306/G306)</f>
        <v/>
      </c>
      <c r="I306" s="104">
        <f>SUM(F306/H306)</f>
        <v/>
      </c>
      <c r="J306" s="105">
        <f>SUM(4*I306)</f>
        <v/>
      </c>
      <c r="K306" s="100">
        <f>SUM(I306*1.5)</f>
        <v/>
      </c>
      <c r="L306" s="101">
        <f>SUM(K306*4)</f>
        <v/>
      </c>
      <c r="M306" s="102">
        <f>SUM(I306*2)</f>
        <v/>
      </c>
      <c r="N306" s="103">
        <f>SUM(M306*4)</f>
        <v/>
      </c>
    </row>
    <row r="307" ht="15.75" customHeight="1">
      <c r="A307" s="35" t="n">
        <v>319</v>
      </c>
      <c r="B307" s="49">
        <f>IF(OR(ISNUMBER(SEARCH("Tequila", C307)), ISNUMBER(SEARCH("Tequila", D307))), "Tequila",
IF(OR(ISNUMBER(SEARCH("Rum", C307)), ISNUMBER(SEARCH("Rum", D307))), "Rum",
IF(OR(ISNUMBER(SEARCH("Whiskey", C307)), ISNUMBER(SEARCH("Whiskey", D307))), "Whiskey",
IF(OR(ISNUMBER(SEARCH("Gin", C307)), ISNUMBER(SEARCH("Gin", D307))), "Gin",
IF(OR(ISNUMBER(SEARCH("Liqueur", C307)), ISNUMBER(SEARCH("Liqueur", D307))), "Liqueur", "")))))</f>
        <v/>
      </c>
      <c r="C307" s="52" t="n"/>
      <c r="D307" s="51" t="n"/>
      <c r="E307" s="52" t="n"/>
      <c r="F307" s="51" t="n"/>
      <c r="G307" s="53" t="n"/>
      <c r="H307" s="54" t="n"/>
      <c r="I307" s="104" t="n"/>
      <c r="J307" s="105" t="n"/>
      <c r="K307" s="100" t="n"/>
      <c r="L307" s="101" t="n"/>
      <c r="M307" s="102" t="n"/>
      <c r="N307" s="103" t="n"/>
    </row>
    <row r="308" ht="15.75" customHeight="1">
      <c r="A308" s="35" t="n">
        <v>238</v>
      </c>
      <c r="B308" s="49">
        <f>IF(OR(ISNUMBER(SEARCH("Tequila", C308)), ISNUMBER(SEARCH("Tequila", D308))), "Tequila",
IF(OR(ISNUMBER(SEARCH("Rum", C308)), ISNUMBER(SEARCH("Rum", D308))), "Rum",
IF(OR(ISNUMBER(SEARCH("Whiskey", C308)), ISNUMBER(SEARCH("Whiskey", D308))), "Whiskey",
IF(OR(ISNUMBER(SEARCH("Gin", C308)), ISNUMBER(SEARCH("Gin", D308))), "Gin",
IF(OR(ISNUMBER(SEARCH("Liqueur", C308)), ISNUMBER(SEARCH("Liqueur", D308))), "Liqueur", "")))))</f>
        <v/>
      </c>
      <c r="C308" s="52" t="n"/>
      <c r="D308" s="51" t="inlineStr">
        <is>
          <t>Quiereme Mucho Cuise Mezcal Tequila (750mL/item) - $62.61 2</t>
        </is>
      </c>
      <c r="E308" s="52" t="n">
        <v>750</v>
      </c>
      <c r="F308" s="51">
        <f>TRIM(MID(D308, FIND("$", D308), FIND(" ", D308, FIND("$", D308)) - FIND("$", D308))
)</f>
        <v/>
      </c>
      <c r="G308" s="53" t="n">
        <v>29.57</v>
      </c>
      <c r="H308" s="54">
        <f>SUM(E308/G308)</f>
        <v/>
      </c>
      <c r="I308" s="104">
        <f>SUM(F308/H308)</f>
        <v/>
      </c>
      <c r="J308" s="105">
        <f>SUM(4*I308)</f>
        <v/>
      </c>
      <c r="K308" s="100">
        <f>SUM(I308*1.5)</f>
        <v/>
      </c>
      <c r="L308" s="101">
        <f>SUM(K308*4)</f>
        <v/>
      </c>
      <c r="M308" s="102">
        <f>SUM(I308*2)</f>
        <v/>
      </c>
      <c r="N308" s="103">
        <f>SUM(M308*4)</f>
        <v/>
      </c>
    </row>
    <row r="309" ht="15.75" customHeight="1">
      <c r="A309" s="35" t="n">
        <v>239</v>
      </c>
      <c r="B309" s="49">
        <f>IF(OR(ISNUMBER(SEARCH("Tequila", C309)), ISNUMBER(SEARCH("Tequila", D309))), "Tequila",
IF(OR(ISNUMBER(SEARCH("Rum", C309)), ISNUMBER(SEARCH("Rum", D309))), "Rum",
IF(OR(ISNUMBER(SEARCH("Whiskey", C309)), ISNUMBER(SEARCH("Whiskey", D309))), "Whiskey",
IF(OR(ISNUMBER(SEARCH("Gin", C309)), ISNUMBER(SEARCH("Gin", D309))), "Gin",
IF(OR(ISNUMBER(SEARCH("Liqueur", C309)), ISNUMBER(SEARCH("Liqueur", D309))), "Liqueur", "")))))</f>
        <v/>
      </c>
      <c r="C309" s="52" t="n"/>
      <c r="D309" s="51" t="inlineStr">
        <is>
          <t>Quiereme Mucho Espadin Mezcal Tequila (750mL/item) - $50.40 1</t>
        </is>
      </c>
      <c r="E309" s="52" t="n">
        <v>750</v>
      </c>
      <c r="F309" s="51">
        <f>TRIM(MID(D309, FIND("$", D309), FIND(" ", D309, FIND("$", D309)) - FIND("$", D309))
)</f>
        <v/>
      </c>
      <c r="G309" s="53" t="n">
        <v>29.57</v>
      </c>
      <c r="H309" s="54">
        <f>SUM(E309/G309)</f>
        <v/>
      </c>
      <c r="I309" s="104">
        <f>SUM(F309/H309)</f>
        <v/>
      </c>
      <c r="J309" s="105">
        <f>SUM(4*I309)</f>
        <v/>
      </c>
      <c r="K309" s="100">
        <f>SUM(I309*1.5)</f>
        <v/>
      </c>
      <c r="L309" s="101">
        <f>SUM(K309*4)</f>
        <v/>
      </c>
      <c r="M309" s="102">
        <f>SUM(I309*2)</f>
        <v/>
      </c>
      <c r="N309" s="103">
        <f>SUM(M309*4)</f>
        <v/>
      </c>
    </row>
    <row r="310" ht="15.75" customHeight="1">
      <c r="A310" s="35" t="n">
        <v>240</v>
      </c>
      <c r="B310" s="49">
        <f>IF(OR(ISNUMBER(SEARCH("Tequila", C310)), ISNUMBER(SEARCH("Tequila", D310))), "Tequila",
IF(OR(ISNUMBER(SEARCH("Rum", C310)), ISNUMBER(SEARCH("Rum", D310))), "Rum",
IF(OR(ISNUMBER(SEARCH("Whiskey", C310)), ISNUMBER(SEARCH("Whiskey", D310))), "Whiskey",
IF(OR(ISNUMBER(SEARCH("Gin", C310)), ISNUMBER(SEARCH("Gin", D310))), "Gin",
IF(OR(ISNUMBER(SEARCH("Liqueur", C310)), ISNUMBER(SEARCH("Liqueur", D310))), "Liqueur", "")))))</f>
        <v/>
      </c>
      <c r="C310" s="52" t="n"/>
      <c r="D310" s="51" t="inlineStr">
        <is>
          <t>Quiereme Mucho Tepextate Mezcal Tequila (750mL/item) - $66.69 3</t>
        </is>
      </c>
      <c r="E310" s="52" t="n">
        <v>750</v>
      </c>
      <c r="F310" s="51">
        <f>TRIM(MID(D310, FIND("$", D310), FIND(" ", D310, FIND("$", D310)) - FIND("$", D310))
)</f>
        <v/>
      </c>
      <c r="G310" s="53" t="n">
        <v>29.57</v>
      </c>
      <c r="H310" s="54">
        <f>SUM(E310/G310)</f>
        <v/>
      </c>
      <c r="I310" s="104">
        <f>SUM(F310/H310)</f>
        <v/>
      </c>
      <c r="J310" s="105">
        <f>SUM(4*I310)</f>
        <v/>
      </c>
      <c r="K310" s="100">
        <f>SUM(I310*1.5)</f>
        <v/>
      </c>
      <c r="L310" s="101">
        <f>SUM(K310*4)</f>
        <v/>
      </c>
      <c r="M310" s="102">
        <f>SUM(I310*2)</f>
        <v/>
      </c>
      <c r="N310" s="103">
        <f>SUM(M310*4)</f>
        <v/>
      </c>
    </row>
    <row r="311" ht="15.75" customHeight="1">
      <c r="A311" s="35" t="n">
        <v>241</v>
      </c>
      <c r="B311" s="49">
        <f>IF(OR(ISNUMBER(SEARCH("Tequila", C311)), ISNUMBER(SEARCH("Tequila", D311))), "Tequila",
IF(OR(ISNUMBER(SEARCH("Rum", C311)), ISNUMBER(SEARCH("Rum", D311))), "Rum",
IF(OR(ISNUMBER(SEARCH("Whiskey", C311)), ISNUMBER(SEARCH("Whiskey", D311))), "Whiskey",
IF(OR(ISNUMBER(SEARCH("Gin", C311)), ISNUMBER(SEARCH("Gin", D311))), "Gin",
IF(OR(ISNUMBER(SEARCH("Liqueur", C311)), ISNUMBER(SEARCH("Liqueur", D311))), "Liqueur", "")))))</f>
        <v/>
      </c>
      <c r="C311" s="52" t="n"/>
      <c r="D311" s="51" t="inlineStr">
        <is>
          <t>Quiereme Mucho Tobala Mezcal Tequila (750mL/item) - $65.06 2</t>
        </is>
      </c>
      <c r="E311" s="52" t="n">
        <v>750</v>
      </c>
      <c r="F311" s="51">
        <f>TRIM(MID(D311, FIND("$", D311), FIND(" ", D311, FIND("$", D311)) - FIND("$", D311))
)</f>
        <v/>
      </c>
      <c r="G311" s="53" t="n">
        <v>29.57</v>
      </c>
      <c r="H311" s="54">
        <f>SUM(E311/G311)</f>
        <v/>
      </c>
      <c r="I311" s="104">
        <f>SUM(F311/H311)</f>
        <v/>
      </c>
      <c r="J311" s="105">
        <f>SUM(4*I311)</f>
        <v/>
      </c>
      <c r="K311" s="100">
        <f>SUM(I311*1.5)</f>
        <v/>
      </c>
      <c r="L311" s="101">
        <f>SUM(K311*4)</f>
        <v/>
      </c>
      <c r="M311" s="102">
        <f>SUM(I311*2)</f>
        <v/>
      </c>
      <c r="N311" s="103">
        <f>SUM(M311*4)</f>
        <v/>
      </c>
    </row>
    <row r="312" ht="15.75" customHeight="1">
      <c r="A312" s="35" t="n">
        <v>211</v>
      </c>
      <c r="B312" s="49">
        <f>IF(OR(ISNUMBER(SEARCH("Tequila", C312)), ISNUMBER(SEARCH("Tequila", D312))), "Tequila",
IF(OR(ISNUMBER(SEARCH("Rum", C312)), ISNUMBER(SEARCH("Rum", D312))), "Rum",
IF(OR(ISNUMBER(SEARCH("Whiskey", C312)), ISNUMBER(SEARCH("Whiskey", D312))), "Whiskey",
IF(OR(ISNUMBER(SEARCH("Gin", C312)), ISNUMBER(SEARCH("Gin", D312))), "Gin",
IF(OR(ISNUMBER(SEARCH("Liqueur", C312)), ISNUMBER(SEARCH("Liqueur", D312))), "Liqueur", "")))))</f>
        <v/>
      </c>
      <c r="C312" s="52" t="n"/>
      <c r="D312" s="51" t="inlineStr">
        <is>
          <t>Religion Anejo Tequila (750mL/item) - $43.30 1</t>
        </is>
      </c>
      <c r="E312" s="52" t="n">
        <v>750</v>
      </c>
      <c r="F312" s="51">
        <f>TRIM(MID(D312, FIND("$", D312), FIND(" ", D312, FIND("$", D312)) - FIND("$", D312))
)</f>
        <v/>
      </c>
      <c r="G312" s="53" t="n">
        <v>29.57</v>
      </c>
      <c r="H312" s="54">
        <f>SUM(E312/G312)</f>
        <v/>
      </c>
      <c r="I312" s="104">
        <f>SUM(F312/H312)</f>
        <v/>
      </c>
      <c r="J312" s="105">
        <f>SUM(4*I312)</f>
        <v/>
      </c>
      <c r="K312" s="100">
        <f>SUM(I312*1.5)</f>
        <v/>
      </c>
      <c r="L312" s="101">
        <f>SUM(K312*4)</f>
        <v/>
      </c>
      <c r="M312" s="102">
        <f>SUM(I312*2)</f>
        <v/>
      </c>
      <c r="N312" s="103">
        <f>SUM(M312*4)</f>
        <v/>
      </c>
    </row>
    <row r="313" ht="15.75" customHeight="1">
      <c r="A313" s="35" t="n">
        <v>212</v>
      </c>
      <c r="B313" s="49">
        <f>IF(OR(ISNUMBER(SEARCH("Tequila", C313)), ISNUMBER(SEARCH("Tequila", D313))), "Tequila",
IF(OR(ISNUMBER(SEARCH("Rum", C313)), ISNUMBER(SEARCH("Rum", D313))), "Rum",
IF(OR(ISNUMBER(SEARCH("Whiskey", C313)), ISNUMBER(SEARCH("Whiskey", D313))), "Whiskey",
IF(OR(ISNUMBER(SEARCH("Gin", C313)), ISNUMBER(SEARCH("Gin", D313))), "Gin",
IF(OR(ISNUMBER(SEARCH("Liqueur", C313)), ISNUMBER(SEARCH("Liqueur", D313))), "Liqueur", "")))))</f>
        <v/>
      </c>
      <c r="C313" s="58" t="n"/>
      <c r="D313" s="51" t="inlineStr">
        <is>
          <t>Religion Blanco Tequila (750mL/item) - $32.68 2</t>
        </is>
      </c>
      <c r="E313" s="52" t="n">
        <v>750</v>
      </c>
      <c r="F313" s="51">
        <f>TRIM(MID(D313, FIND("$", D313), FIND(" ", D313, FIND("$", D313)) - FIND("$", D313))
)</f>
        <v/>
      </c>
      <c r="G313" s="53" t="n">
        <v>29.57</v>
      </c>
      <c r="H313" s="54">
        <f>SUM(E313/G313)</f>
        <v/>
      </c>
      <c r="I313" s="104">
        <f>SUM(F313/H313)</f>
        <v/>
      </c>
      <c r="J313" s="105">
        <f>SUM(4*I313)</f>
        <v/>
      </c>
      <c r="K313" s="100">
        <f>SUM(I313*1.5)</f>
        <v/>
      </c>
      <c r="L313" s="101">
        <f>SUM(K313*4)</f>
        <v/>
      </c>
      <c r="M313" s="102">
        <f>SUM(I313*2)</f>
        <v/>
      </c>
      <c r="N313" s="103">
        <f>SUM(M313*4)</f>
        <v/>
      </c>
    </row>
    <row r="314" ht="15.75" customHeight="1">
      <c r="A314" s="35" t="n">
        <v>213</v>
      </c>
      <c r="B314" s="49">
        <f>IF(OR(ISNUMBER(SEARCH("Tequila", C314)), ISNUMBER(SEARCH("Tequila", D314))), "Tequila",
IF(OR(ISNUMBER(SEARCH("Rum", C314)), ISNUMBER(SEARCH("Rum", D314))), "Rum",
IF(OR(ISNUMBER(SEARCH("Whiskey", C314)), ISNUMBER(SEARCH("Whiskey", D314))), "Whiskey",
IF(OR(ISNUMBER(SEARCH("Gin", C314)), ISNUMBER(SEARCH("Gin", D314))), "Gin",
IF(OR(ISNUMBER(SEARCH("Liqueur", C314)), ISNUMBER(SEARCH("Liqueur", D314))), "Liqueur", "")))))</f>
        <v/>
      </c>
      <c r="C314" s="52" t="n"/>
      <c r="D314" s="51" t="inlineStr">
        <is>
          <t>Religion Manuka Honey Tequila (750mL/item) - $38.40 2</t>
        </is>
      </c>
      <c r="E314" s="52" t="n">
        <v>750</v>
      </c>
      <c r="F314" s="51">
        <f>TRIM(MID(D314, FIND("$", D314), FIND(" ", D314, FIND("$", D314)) - FIND("$", D314))
)</f>
        <v/>
      </c>
      <c r="G314" s="53" t="n">
        <v>29.57</v>
      </c>
      <c r="H314" s="54">
        <f>SUM(E314/G314)</f>
        <v/>
      </c>
      <c r="I314" s="104">
        <f>SUM(F314/H314)</f>
        <v/>
      </c>
      <c r="J314" s="105">
        <f>SUM(4*I314)</f>
        <v/>
      </c>
      <c r="K314" s="100">
        <f>SUM(I314*1.5)</f>
        <v/>
      </c>
      <c r="L314" s="101">
        <f>SUM(K314*4)</f>
        <v/>
      </c>
      <c r="M314" s="102">
        <f>SUM(I314*2)</f>
        <v/>
      </c>
      <c r="N314" s="103">
        <f>SUM(M314*4)</f>
        <v/>
      </c>
    </row>
    <row r="315" ht="15.75" customHeight="1">
      <c r="A315" s="35" t="n">
        <v>214</v>
      </c>
      <c r="B315" s="49">
        <f>IF(OR(ISNUMBER(SEARCH("Tequila", C315)), ISNUMBER(SEARCH("Tequila", D315))), "Tequila",
IF(OR(ISNUMBER(SEARCH("Rum", C315)), ISNUMBER(SEARCH("Rum", D315))), "Rum",
IF(OR(ISNUMBER(SEARCH("Whiskey", C315)), ISNUMBER(SEARCH("Whiskey", D315))), "Whiskey",
IF(OR(ISNUMBER(SEARCH("Gin", C315)), ISNUMBER(SEARCH("Gin", D315))), "Gin",
IF(OR(ISNUMBER(SEARCH("Liqueur", C315)), ISNUMBER(SEARCH("Liqueur", D315))), "Liqueur", "")))))</f>
        <v/>
      </c>
      <c r="C315" s="52" t="n"/>
      <c r="D315" s="51" t="inlineStr">
        <is>
          <t>Religion Reposado Tequila (750mL/item) - $8.40 2</t>
        </is>
      </c>
      <c r="E315" s="52" t="n">
        <v>750</v>
      </c>
      <c r="F315" s="51">
        <f>TRIM(MID(D315, FIND("$", D315), FIND(" ", D315, FIND("$", D315)) - FIND("$", D315))
)</f>
        <v/>
      </c>
      <c r="G315" s="53" t="n">
        <v>29.57</v>
      </c>
      <c r="H315" s="54">
        <f>SUM(E315/G315)</f>
        <v/>
      </c>
      <c r="I315" s="104">
        <f>SUM(F315/H315)</f>
        <v/>
      </c>
      <c r="J315" s="105">
        <f>SUM(4*I315)</f>
        <v/>
      </c>
      <c r="K315" s="100">
        <f>SUM(I315*1.5)</f>
        <v/>
      </c>
      <c r="L315" s="101">
        <f>SUM(K315*4)</f>
        <v/>
      </c>
      <c r="M315" s="102">
        <f>SUM(I315*2)</f>
        <v/>
      </c>
      <c r="N315" s="103">
        <f>SUM(M315*4)</f>
        <v/>
      </c>
    </row>
    <row r="316" ht="15.75" customHeight="1">
      <c r="A316" s="35" t="n">
        <v>340</v>
      </c>
      <c r="B316" s="49">
        <f>IF(OR(ISNUMBER(SEARCH("Tequila", C316)), ISNUMBER(SEARCH("Tequila", D316))), "Tequila",
IF(OR(ISNUMBER(SEARCH("Rum", C316)), ISNUMBER(SEARCH("Rum", D316))), "Rum",
IF(OR(ISNUMBER(SEARCH("Whiskey", C316)), ISNUMBER(SEARCH("Whiskey", D316))), "Whiskey",
IF(OR(ISNUMBER(SEARCH("Gin", C316)), ISNUMBER(SEARCH("Gin", D316))), "Gin",
IF(OR(ISNUMBER(SEARCH("Liqueur", C316)), ISNUMBER(SEARCH("Liqueur", D316))), "Liqueur", "")))))</f>
        <v/>
      </c>
      <c r="C316" s="52" t="n"/>
      <c r="D316" s="51" t="inlineStr">
        <is>
          <t>Remy Martin 1738 Cognac (750mL/item) - $51.66 1</t>
        </is>
      </c>
      <c r="E316" s="52" t="n">
        <v>750</v>
      </c>
      <c r="F316" s="51">
        <f>TRIM(MID(D316, FIND("$", D316), FIND(" ", D316, FIND("$", D316)) - FIND("$", D316))
)</f>
        <v/>
      </c>
      <c r="G316" s="53" t="n">
        <v>29.57</v>
      </c>
      <c r="H316" s="54">
        <f>SUM(E316/G316)</f>
        <v/>
      </c>
      <c r="I316" s="104">
        <f>SUM(F316/H316)</f>
        <v/>
      </c>
      <c r="J316" s="105">
        <f>SUM(4*I316)</f>
        <v/>
      </c>
      <c r="K316" s="100">
        <f>SUM(I316*1.5)</f>
        <v/>
      </c>
      <c r="L316" s="101">
        <f>SUM(K316*4)</f>
        <v/>
      </c>
      <c r="M316" s="102">
        <f>SUM(I316*2)</f>
        <v/>
      </c>
      <c r="N316" s="103">
        <f>SUM(M316*4)</f>
        <v/>
      </c>
    </row>
    <row r="317" ht="15.75" customHeight="1">
      <c r="A317" s="35" t="n">
        <v>341</v>
      </c>
      <c r="B317" s="49">
        <f>IF(OR(ISNUMBER(SEARCH("Tequila", C317)), ISNUMBER(SEARCH("Tequila", D317))), "Tequila",
IF(OR(ISNUMBER(SEARCH("Rum", C317)), ISNUMBER(SEARCH("Rum", D317))), "Rum",
IF(OR(ISNUMBER(SEARCH("Whiskey", C317)), ISNUMBER(SEARCH("Whiskey", D317))), "Whiskey",
IF(OR(ISNUMBER(SEARCH("Gin", C317)), ISNUMBER(SEARCH("Gin", D317))), "Gin",
IF(OR(ISNUMBER(SEARCH("Liqueur", C317)), ISNUMBER(SEARCH("Liqueur", D317))), "Liqueur", "")))))</f>
        <v/>
      </c>
      <c r="C317" s="52" t="n"/>
      <c r="D317" s="51" t="inlineStr">
        <is>
          <t>Remy Martin VSOP Cognac (750mL/item) - $46.57 2</t>
        </is>
      </c>
      <c r="E317" s="52" t="n">
        <v>750</v>
      </c>
      <c r="F317" s="51">
        <f>TRIM(MID(D317, FIND("$", D317), FIND(" ", D317, FIND("$", D317)) - FIND("$", D317))
)</f>
        <v/>
      </c>
      <c r="G317" s="53" t="n">
        <v>29.57</v>
      </c>
      <c r="H317" s="54">
        <f>SUM(E317/G317)</f>
        <v/>
      </c>
      <c r="I317" s="104">
        <f>SUM(F317/H317)</f>
        <v/>
      </c>
      <c r="J317" s="105">
        <f>SUM(4*I317)</f>
        <v/>
      </c>
      <c r="K317" s="100">
        <f>SUM(I317*1.5)</f>
        <v/>
      </c>
      <c r="L317" s="101">
        <f>SUM(K317*4)</f>
        <v/>
      </c>
      <c r="M317" s="102">
        <f>SUM(I317*2)</f>
        <v/>
      </c>
      <c r="N317" s="103">
        <f>SUM(M317*4)</f>
        <v/>
      </c>
    </row>
    <row r="318" ht="15.75" customHeight="1">
      <c r="A318" s="35" t="n">
        <v>170</v>
      </c>
      <c r="B318" s="49">
        <f>IF(OR(ISNUMBER(SEARCH("Tequila", C318)), ISNUMBER(SEARCH("Tequila", D318))), "Tequila",
IF(OR(ISNUMBER(SEARCH("Rum", C318)), ISNUMBER(SEARCH("Rum", D318))), "Rum",
IF(OR(ISNUMBER(SEARCH("Whiskey", C318)), ISNUMBER(SEARCH("Whiskey", D318))), "Whiskey",
IF(OR(ISNUMBER(SEARCH("Gin", C318)), ISNUMBER(SEARCH("Gin", D318))), "Gin",
IF(OR(ISNUMBER(SEARCH("Liqueur", C318)), ISNUMBER(SEARCH("Liqueur", D318))), "Liqueur", "")))))</f>
        <v/>
      </c>
      <c r="C318" s="50" t="n"/>
      <c r="D318" s="51" t="inlineStr">
        <is>
          <t>Reserva de La Familia Extra Anejo Tequila (750mL/item) - $156.12 1</t>
        </is>
      </c>
      <c r="E318" s="52" t="n">
        <v>750</v>
      </c>
      <c r="F318" s="51">
        <f>TRIM(MID(D318, FIND("$", D318), FIND(" ", D318, FIND("$", D318)) - FIND("$", D318))
)</f>
        <v/>
      </c>
      <c r="G318" s="53" t="n">
        <v>29.57</v>
      </c>
      <c r="H318" s="54">
        <f>SUM(E318/G318)</f>
        <v/>
      </c>
      <c r="I318" s="104">
        <f>SUM(F318/H318)</f>
        <v/>
      </c>
      <c r="J318" s="105">
        <f>SUM(4*I318)</f>
        <v/>
      </c>
      <c r="K318" s="100">
        <f>SUM(I318*1.5)</f>
        <v/>
      </c>
      <c r="L318" s="101">
        <f>SUM(K318*4)</f>
        <v/>
      </c>
      <c r="M318" s="102">
        <f>SUM(I318*2)</f>
        <v/>
      </c>
      <c r="N318" s="103">
        <f>SUM(M318*4)</f>
        <v/>
      </c>
    </row>
    <row r="319" ht="15.75" customHeight="1">
      <c r="A319" s="35" t="n">
        <v>171</v>
      </c>
      <c r="B319" s="49">
        <f>IF(OR(ISNUMBER(SEARCH("Tequila", C319)), ISNUMBER(SEARCH("Tequila", D319))), "Tequila",
IF(OR(ISNUMBER(SEARCH("Rum", C319)), ISNUMBER(SEARCH("Rum", D319))), "Rum",
IF(OR(ISNUMBER(SEARCH("Whiskey", C319)), ISNUMBER(SEARCH("Whiskey", D319))), "Whiskey",
IF(OR(ISNUMBER(SEARCH("Gin", C319)), ISNUMBER(SEARCH("Gin", D319))), "Gin",
IF(OR(ISNUMBER(SEARCH("Liqueur", C319)), ISNUMBER(SEARCH("Liqueur", D319))), "Liqueur", "")))))</f>
        <v/>
      </c>
      <c r="C319" s="58" t="n"/>
      <c r="D319" s="51" t="inlineStr">
        <is>
          <t>Reserva de la Familia Platino Tequila (750mL/item) - $55.74 1</t>
        </is>
      </c>
      <c r="E319" s="52" t="n">
        <v>750</v>
      </c>
      <c r="F319" s="51">
        <f>TRIM(MID(D319, FIND("$", D319), FIND(" ", D319, FIND("$", D319)) - FIND("$", D319))
)</f>
        <v/>
      </c>
      <c r="G319" s="53" t="n">
        <v>29.57</v>
      </c>
      <c r="H319" s="54">
        <f>SUM(E319/G319)</f>
        <v/>
      </c>
      <c r="I319" s="104">
        <f>SUM(F319/H319)</f>
        <v/>
      </c>
      <c r="J319" s="105">
        <f>SUM(4*I319)</f>
        <v/>
      </c>
      <c r="K319" s="100">
        <f>SUM(I319*1.5)</f>
        <v/>
      </c>
      <c r="L319" s="101">
        <f>SUM(K319*4)</f>
        <v/>
      </c>
      <c r="M319" s="102">
        <f>SUM(I319*2)</f>
        <v/>
      </c>
      <c r="N319" s="103">
        <f>SUM(M319*4)</f>
        <v/>
      </c>
    </row>
    <row r="320" ht="15.75" customHeight="1">
      <c r="A320" s="35" t="n">
        <v>172</v>
      </c>
      <c r="B320" s="49">
        <f>IF(OR(ISNUMBER(SEARCH("Tequila", C320)), ISNUMBER(SEARCH("Tequila", D320))), "Tequila",
IF(OR(ISNUMBER(SEARCH("Rum", C320)), ISNUMBER(SEARCH("Rum", D320))), "Rum",
IF(OR(ISNUMBER(SEARCH("Whiskey", C320)), ISNUMBER(SEARCH("Whiskey", D320))), "Whiskey",
IF(OR(ISNUMBER(SEARCH("Gin", C320)), ISNUMBER(SEARCH("Gin", D320))), "Gin",
IF(OR(ISNUMBER(SEARCH("Liqueur", C320)), ISNUMBER(SEARCH("Liqueur", D320))), "Liqueur", "")))))</f>
        <v/>
      </c>
      <c r="C320" s="52" t="n"/>
      <c r="D320" s="51" t="inlineStr">
        <is>
          <t>Reserva de la Familia Reposado Tequila (750mL/item) - $72.08 1</t>
        </is>
      </c>
      <c r="E320" s="52" t="n">
        <v>750</v>
      </c>
      <c r="F320" s="51">
        <f>TRIM(MID(D320, FIND("$", D320), FIND(" ", D320, FIND("$", D320)) - FIND("$", D320))
)</f>
        <v/>
      </c>
      <c r="G320" s="53" t="n">
        <v>29.57</v>
      </c>
      <c r="H320" s="54">
        <f>SUM(E320/G320)</f>
        <v/>
      </c>
      <c r="I320" s="104">
        <f>SUM(F320/H320)</f>
        <v/>
      </c>
      <c r="J320" s="105">
        <f>SUM(4*I320)</f>
        <v/>
      </c>
      <c r="K320" s="100">
        <f>SUM(I320*1.5)</f>
        <v/>
      </c>
      <c r="L320" s="101">
        <f>SUM(K320*4)</f>
        <v/>
      </c>
      <c r="M320" s="102">
        <f>SUM(I320*2)</f>
        <v/>
      </c>
      <c r="N320" s="103">
        <f>SUM(M320*4)</f>
        <v/>
      </c>
    </row>
    <row r="321" ht="15.75" customHeight="1">
      <c r="A321" s="35" t="n">
        <v>276</v>
      </c>
      <c r="B321" s="49">
        <f>IF(OR(ISNUMBER(SEARCH("Tequila", C321)), ISNUMBER(SEARCH("Tequila", D321))), "Tequila",
IF(OR(ISNUMBER(SEARCH("Rum", C321)), ISNUMBER(SEARCH("Rum", D321))), "Rum",
IF(OR(ISNUMBER(SEARCH("Whiskey", C321)), ISNUMBER(SEARCH("Whiskey", D321))), "Whiskey",
IF(OR(ISNUMBER(SEARCH("Gin", C321)), ISNUMBER(SEARCH("Gin", D321))), "Gin",
IF(OR(ISNUMBER(SEARCH("Liqueur", C321)), ISNUMBER(SEARCH("Liqueur", D321))), "Liqueur", "")))))</f>
        <v/>
      </c>
      <c r="C321" s="52" t="n"/>
      <c r="D321" s="51" t="n"/>
      <c r="E321" s="52" t="n"/>
      <c r="F321" s="51" t="n"/>
      <c r="G321" s="53" t="n"/>
      <c r="H321" s="54" t="n"/>
      <c r="I321" s="104" t="n"/>
      <c r="J321" s="105" t="n"/>
      <c r="K321" s="100" t="n"/>
      <c r="L321" s="101" t="n"/>
      <c r="M321" s="102" t="n"/>
      <c r="N321" s="103" t="n"/>
    </row>
    <row r="322" ht="15.75" customHeight="1">
      <c r="A322" s="35" t="n">
        <v>277</v>
      </c>
      <c r="B322" s="49">
        <f>IF(OR(ISNUMBER(SEARCH("Tequila", C322)), ISNUMBER(SEARCH("Tequila", D322))), "Tequila",
IF(OR(ISNUMBER(SEARCH("Rum", C322)), ISNUMBER(SEARCH("Rum", D322))), "Rum",
IF(OR(ISNUMBER(SEARCH("Whiskey", C322)), ISNUMBER(SEARCH("Whiskey", D322))), "Whiskey",
IF(OR(ISNUMBER(SEARCH("Gin", C322)), ISNUMBER(SEARCH("Gin", D322))), "Gin",
IF(OR(ISNUMBER(SEARCH("Liqueur", C322)), ISNUMBER(SEARCH("Liqueur", D322))), "Liqueur", "")))))</f>
        <v/>
      </c>
      <c r="C322" s="52" t="n"/>
      <c r="D322" s="51" t="n"/>
      <c r="E322" s="52" t="n"/>
      <c r="F322" s="51" t="n"/>
      <c r="G322" s="53" t="n"/>
      <c r="H322" s="54" t="n"/>
      <c r="I322" s="104" t="n"/>
      <c r="J322" s="105" t="n"/>
      <c r="K322" s="100" t="n"/>
      <c r="L322" s="101" t="n"/>
      <c r="M322" s="102" t="n"/>
      <c r="N322" s="103" t="n"/>
    </row>
    <row r="323" ht="15.75" customHeight="1">
      <c r="A323" s="35" t="n">
        <v>314</v>
      </c>
      <c r="B323" s="49">
        <f>IF(OR(ISNUMBER(SEARCH("Tequila", C323)), ISNUMBER(SEARCH("Tequila", D323))), "Tequila",
IF(OR(ISNUMBER(SEARCH("Rum", C323)), ISNUMBER(SEARCH("Rum", D323))), "Rum",
IF(OR(ISNUMBER(SEARCH("Whiskey", C323)), ISNUMBER(SEARCH("Whiskey", D323))), "Whiskey",
IF(OR(ISNUMBER(SEARCH("Gin", C323)), ISNUMBER(SEARCH("Gin", D323))), "Gin",
IF(OR(ISNUMBER(SEARCH("Liqueur", C323)), ISNUMBER(SEARCH("Liqueur", D323))), "Liqueur", "")))))</f>
        <v/>
      </c>
      <c r="C323" s="52" t="n"/>
      <c r="D323" s="51" t="n"/>
      <c r="E323" s="52" t="n"/>
      <c r="F323" s="51" t="n"/>
      <c r="G323" s="53" t="n"/>
      <c r="H323" s="54" t="n"/>
      <c r="I323" s="104" t="n"/>
      <c r="J323" s="105" t="n"/>
      <c r="K323" s="100" t="n"/>
      <c r="L323" s="101" t="n"/>
      <c r="M323" s="102" t="n"/>
      <c r="N323" s="103" t="n"/>
    </row>
    <row r="324" ht="15.75" customHeight="1">
      <c r="A324" s="35" t="n">
        <v>278</v>
      </c>
      <c r="B324" s="49">
        <f>IF(OR(ISNUMBER(SEARCH("Tequila", C324)), ISNUMBER(SEARCH("Tequila", D324))), "Tequila",
 IF(OR(ISNUMBER(SEARCH("Rum", C324)), ISNUMBER(SEARCH("Rum", D324))), "Rum",
 IF(OR(ISNUMBER(SEARCH("Whiskey", C324)), ISNUMBER(SEARCH("Whiskey", D324))), "Whiskey",
 IF(OR(ISNUMBER(SEARCH("Gin", C324)), ISNUMBER(SEARCH("Gin", D324))), "Gin",
 IF(OR(ISNUMBER(SEARCH("Liqueur", C324)), ISNUMBER(SEARCH("Liqueur", D324))), "Liqueur", "")))))</f>
        <v/>
      </c>
      <c r="C324" s="52" t="n"/>
      <c r="D324" s="51" t="n"/>
      <c r="E324" s="52" t="n"/>
      <c r="F324" s="51" t="n"/>
      <c r="G324" s="53" t="n"/>
      <c r="H324" s="54" t="n"/>
      <c r="I324" s="104" t="n"/>
      <c r="J324" s="105" t="n"/>
      <c r="K324" s="100" t="n"/>
      <c r="L324" s="101" t="n"/>
      <c r="M324" s="102" t="n"/>
      <c r="N324" s="103" t="n"/>
    </row>
    <row r="325" ht="15.75" customHeight="1">
      <c r="A325" s="35" t="n">
        <v>192</v>
      </c>
      <c r="B325" s="49">
        <f>IF(OR(ISNUMBER(SEARCH("Tequila", C325)), ISNUMBER(SEARCH("Tequila", D325))), "Tequila",
IF(OR(ISNUMBER(SEARCH("Rum", C325)), ISNUMBER(SEARCH("Rum", D325))), "Rum",
IF(OR(ISNUMBER(SEARCH("Whiskey", C325)), ISNUMBER(SEARCH("Whiskey", D325))), "Whiskey",
IF(OR(ISNUMBER(SEARCH("Gin", C325)), ISNUMBER(SEARCH("Gin", D325))), "Gin",
IF(OR(ISNUMBER(SEARCH("Liqueur", C325)), ISNUMBER(SEARCH("Liqueur", D325))), "Liqueur", "")))))</f>
        <v/>
      </c>
      <c r="C325" s="52" t="n"/>
      <c r="D325" s="51" t="inlineStr">
        <is>
          <t>Sangre De Vida Anejo Tequila (750mL/item) - $74.82 1</t>
        </is>
      </c>
      <c r="E325" s="52" t="n">
        <v>750</v>
      </c>
      <c r="F325" s="51">
        <f>TRIM(MID(D325, FIND("$", D325), FIND(" ", D325, FIND("$", D325)) - FIND("$", D325))
)</f>
        <v/>
      </c>
      <c r="G325" s="53" t="n">
        <v>29.57</v>
      </c>
      <c r="H325" s="54">
        <f>SUM(E325/G325)</f>
        <v/>
      </c>
      <c r="I325" s="104">
        <f>SUM(F325/H325)</f>
        <v/>
      </c>
      <c r="J325" s="105">
        <f>SUM(4*I325)</f>
        <v/>
      </c>
      <c r="K325" s="100">
        <f>SUM(I325*1.5)</f>
        <v/>
      </c>
      <c r="L325" s="101">
        <f>SUM(K325*4)</f>
        <v/>
      </c>
      <c r="M325" s="102">
        <f>SUM(I325*2)</f>
        <v/>
      </c>
      <c r="N325" s="103">
        <f>SUM(M325*4)</f>
        <v/>
      </c>
    </row>
    <row r="326" ht="15.75" customHeight="1">
      <c r="A326" s="35" t="n">
        <v>191</v>
      </c>
      <c r="B326" s="49">
        <f>IF(OR(ISNUMBER(SEARCH("Tequila", C326)), ISNUMBER(SEARCH("Tequila", D326))), "Tequila",
IF(OR(ISNUMBER(SEARCH("Rum", C326)), ISNUMBER(SEARCH("Rum", D326))), "Rum",
IF(OR(ISNUMBER(SEARCH("Whiskey", C326)), ISNUMBER(SEARCH("Whiskey", D326))), "Whiskey",
IF(OR(ISNUMBER(SEARCH("Gin", C326)), ISNUMBER(SEARCH("Gin", D326))), "Gin",
IF(OR(ISNUMBER(SEARCH("Liqueur", C326)), ISNUMBER(SEARCH("Liqueur", D326))), "Liqueur", "")))))</f>
        <v/>
      </c>
      <c r="C326" s="52" t="n"/>
      <c r="D326" s="51" t="inlineStr">
        <is>
          <t>Sangre De Vida Reposado Tequila (750mL/item) - $50.40 1</t>
        </is>
      </c>
      <c r="E326" s="52" t="n">
        <v>750</v>
      </c>
      <c r="F326" s="51">
        <f>TRIM(MID(D326, FIND("$", D326), FIND(" ", D326, FIND("$", D326)) - FIND("$", D326))
)</f>
        <v/>
      </c>
      <c r="G326" s="53" t="n">
        <v>29.57</v>
      </c>
      <c r="H326" s="54">
        <f>SUM(E326/G326)</f>
        <v/>
      </c>
      <c r="I326" s="104">
        <f>SUM(F326/H326)</f>
        <v/>
      </c>
      <c r="J326" s="105">
        <f>SUM(4*I326)</f>
        <v/>
      </c>
      <c r="K326" s="100">
        <f>SUM(I326*1.5)</f>
        <v/>
      </c>
      <c r="L326" s="101">
        <f>SUM(K326*4)</f>
        <v/>
      </c>
      <c r="M326" s="102">
        <f>SUM(I326*2)</f>
        <v/>
      </c>
      <c r="N326" s="103">
        <f>SUM(M326*4)</f>
        <v/>
      </c>
    </row>
    <row r="327" ht="15.75" customHeight="1">
      <c r="A327" s="59" t="n"/>
      <c r="B327" s="49">
        <f>IF(OR(ISNUMBER(SEARCH("Tequila", C327)), ISNUMBER(SEARCH("Tequila", D327))), "Tequila",
IF(OR(ISNUMBER(SEARCH("Rum", C327)), ISNUMBER(SEARCH("Rum", D327))), "Rum",
IF(OR(ISNUMBER(SEARCH("Whiskey", C327)), ISNUMBER(SEARCH("Whiskey", D327))), "Whiskey",
IF(OR(ISNUMBER(SEARCH("Gin", C327)), ISNUMBER(SEARCH("Gin", D327))), "Gin",
IF(OR(ISNUMBER(SEARCH("Liqueur", C327)), ISNUMBER(SEARCH("Liqueur", D327))), "Liqueur", "")))))</f>
        <v/>
      </c>
      <c r="C327" s="52" t="n"/>
      <c r="D327" s="60" t="inlineStr">
        <is>
          <t>Santo Anejo Tequila (750mL) $61.45 1</t>
        </is>
      </c>
      <c r="E327" s="52" t="n">
        <v>750</v>
      </c>
      <c r="F327" s="51">
        <f>TRIM(MID(D327, FIND("$", D327), FIND(" ", D327, FIND("$", D327)) - FIND("$", D327))
)</f>
        <v/>
      </c>
      <c r="G327" s="53" t="n">
        <v>29.57</v>
      </c>
      <c r="H327" s="54">
        <f>SUM(E327/G327)</f>
        <v/>
      </c>
      <c r="I327" s="104">
        <f>SUM(F327/H327)</f>
        <v/>
      </c>
      <c r="J327" s="105">
        <f>SUM(4*I327)</f>
        <v/>
      </c>
      <c r="K327" s="100">
        <f>SUM(I327*1.5)</f>
        <v/>
      </c>
      <c r="L327" s="101">
        <f>SUM(K327*4)</f>
        <v/>
      </c>
      <c r="M327" s="102">
        <f>SUM(I327*2)</f>
        <v/>
      </c>
      <c r="N327" s="103">
        <f>SUM(M327*4)</f>
        <v/>
      </c>
    </row>
    <row r="328" ht="15.75" customHeight="1">
      <c r="A328" s="35" t="n">
        <v>173</v>
      </c>
      <c r="B328" s="49">
        <f>IF(OR(ISNUMBER(SEARCH("Tequila", C328)), ISNUMBER(SEARCH("Tequila", D328))), "Tequila",
IF(OR(ISNUMBER(SEARCH("Rum", C328)), ISNUMBER(SEARCH("Rum", D328))), "Rum",
IF(OR(ISNUMBER(SEARCH("Whiskey", C328)), ISNUMBER(SEARCH("Whiskey", D328))), "Whiskey",
IF(OR(ISNUMBER(SEARCH("Gin", C328)), ISNUMBER(SEARCH("Gin", D328))), "Gin",
IF(OR(ISNUMBER(SEARCH("Liqueur", C328)), ISNUMBER(SEARCH("Liqueur", D328))), "Liqueur", "")))))</f>
        <v/>
      </c>
      <c r="C328" s="58" t="n"/>
      <c r="D328" s="51" t="inlineStr">
        <is>
          <t>Santo Blanco 110pf Tequila (750mL/item) - $47.26 1</t>
        </is>
      </c>
      <c r="E328" s="52" t="n">
        <v>750</v>
      </c>
      <c r="F328" s="51">
        <f>TRIM(MID(D328, FIND("$", D328), FIND(" ", D328, FIND("$", D328)) - FIND("$", D328))
)</f>
        <v/>
      </c>
      <c r="G328" s="53" t="n">
        <v>29.57</v>
      </c>
      <c r="H328" s="54">
        <f>SUM(E328/G328)</f>
        <v/>
      </c>
      <c r="I328" s="104">
        <f>SUM(F328/H328)</f>
        <v/>
      </c>
      <c r="J328" s="105">
        <f>SUM(4*I328)</f>
        <v/>
      </c>
      <c r="K328" s="100">
        <f>SUM(I328*1.5)</f>
        <v/>
      </c>
      <c r="L328" s="101">
        <f>SUM(K328*4)</f>
        <v/>
      </c>
      <c r="M328" s="102">
        <f>SUM(I328*2)</f>
        <v/>
      </c>
      <c r="N328" s="103">
        <f>SUM(M328*4)</f>
        <v/>
      </c>
    </row>
    <row r="329" ht="15.75" customHeight="1">
      <c r="A329" s="59" t="n"/>
      <c r="B329" s="49">
        <f>IF(OR(ISNUMBER(SEARCH("Tequila", C329)), ISNUMBER(SEARCH("Tequila", D329))), "Tequila",
IF(OR(ISNUMBER(SEARCH("Rum", C329)), ISNUMBER(SEARCH("Rum", D329))), "Rum",
IF(OR(ISNUMBER(SEARCH("Whiskey", C329)), ISNUMBER(SEARCH("Whiskey", D329))), "Whiskey",
IF(OR(ISNUMBER(SEARCH("Gin", C329)), ISNUMBER(SEARCH("Gin", D329))), "Gin",
IF(OR(ISNUMBER(SEARCH("Liqueur", C329)), ISNUMBER(SEARCH("Liqueur", D329))), "Liqueur", "")))))</f>
        <v/>
      </c>
      <c r="C329" s="58" t="n"/>
      <c r="D329" s="60" t="inlineStr">
        <is>
          <t>Santo Blanco Tequila (750mL) $38.50 1</t>
        </is>
      </c>
      <c r="E329" s="52" t="n">
        <v>750</v>
      </c>
      <c r="F329" s="51">
        <f>TRIM(MID(D329, FIND("$", D329), FIND(" ", D329, FIND("$", D329)) - FIND("$", D329))
)</f>
        <v/>
      </c>
      <c r="G329" s="53" t="n">
        <v>29.57</v>
      </c>
      <c r="H329" s="54">
        <f>SUM(E329/G329)</f>
        <v/>
      </c>
      <c r="I329" s="104">
        <f>SUM(F329/H329)</f>
        <v/>
      </c>
      <c r="J329" s="105">
        <f>SUM(4*I329)</f>
        <v/>
      </c>
      <c r="K329" s="100">
        <f>SUM(I329*1.5)</f>
        <v/>
      </c>
      <c r="L329" s="101">
        <f>SUM(K329*4)</f>
        <v/>
      </c>
      <c r="M329" s="102">
        <f>SUM(I329*2)</f>
        <v/>
      </c>
      <c r="N329" s="103">
        <f>SUM(M329*4)</f>
        <v/>
      </c>
    </row>
    <row r="330" ht="15.75" customHeight="1">
      <c r="A330" s="35" t="n">
        <v>174</v>
      </c>
      <c r="B330" s="49">
        <f>IF(OR(ISNUMBER(SEARCH("Tequila", C330)), ISNUMBER(SEARCH("Tequila", D330))), "Tequila",
IF(OR(ISNUMBER(SEARCH("Rum", C330)), ISNUMBER(SEARCH("Rum", D330))), "Rum",
IF(OR(ISNUMBER(SEARCH("Whiskey", C330)), ISNUMBER(SEARCH("Whiskey", D330))), "Whiskey",
IF(OR(ISNUMBER(SEARCH("Gin", C330)), ISNUMBER(SEARCH("Gin", D330))), "Gin",
IF(OR(ISNUMBER(SEARCH("Liqueur", C330)), ISNUMBER(SEARCH("Liqueur", D330))), "Liqueur", "")))))</f>
        <v/>
      </c>
      <c r="C330" s="52" t="n"/>
      <c r="D330" s="51" t="inlineStr">
        <is>
          <t>Santo Reposado Tequila (750mL/item) - $45.93 1</t>
        </is>
      </c>
      <c r="E330" s="52" t="n">
        <v>750</v>
      </c>
      <c r="F330" s="51">
        <f>TRIM(MID(D330, FIND("$", D330), FIND(" ", D330, FIND("$", D330)) - FIND("$", D330))
)</f>
        <v/>
      </c>
      <c r="G330" s="53" t="n">
        <v>29.57</v>
      </c>
      <c r="H330" s="54">
        <f>SUM(E330/G330)</f>
        <v/>
      </c>
      <c r="I330" s="104">
        <f>SUM(F330/H330)</f>
        <v/>
      </c>
      <c r="J330" s="105">
        <f>SUM(4*I330)</f>
        <v/>
      </c>
      <c r="K330" s="100">
        <f>SUM(I330*1.5)</f>
        <v/>
      </c>
      <c r="L330" s="101">
        <f>SUM(K330*4)</f>
        <v/>
      </c>
      <c r="M330" s="102">
        <f>SUM(I330*2)</f>
        <v/>
      </c>
      <c r="N330" s="103">
        <f>SUM(M330*4)</f>
        <v/>
      </c>
    </row>
    <row r="331" ht="15.75" customHeight="1">
      <c r="A331" s="35" t="n">
        <v>280</v>
      </c>
      <c r="B331" s="49">
        <f>IF(OR(ISNUMBER(SEARCH("Tequila", C331)), ISNUMBER(SEARCH("Tequila", D331))), "Tequila",
IF(OR(ISNUMBER(SEARCH("Rum", C331)), ISNUMBER(SEARCH("Rum", D331))), "Rum",
IF(OR(ISNUMBER(SEARCH("Whiskey", C331)), ISNUMBER(SEARCH("Whiskey", D331))), "Whiskey",
IF(OR(ISNUMBER(SEARCH("Gin", C331)), ISNUMBER(SEARCH("Gin", D331))), "Gin",
IF(OR(ISNUMBER(SEARCH("Liqueur", C331)), ISNUMBER(SEARCH("Liqueur", D331))), "Liqueur", "")))))</f>
        <v/>
      </c>
      <c r="C331" s="52" t="n"/>
      <c r="D331" s="51" t="n"/>
      <c r="E331" s="52" t="n"/>
      <c r="F331" s="51" t="n"/>
      <c r="G331" s="53" t="n"/>
      <c r="H331" s="54" t="n"/>
      <c r="I331" s="104" t="n"/>
      <c r="J331" s="105" t="n"/>
      <c r="K331" s="100" t="n"/>
      <c r="L331" s="101" t="n"/>
      <c r="M331" s="102" t="n"/>
      <c r="N331" s="103" t="n"/>
    </row>
    <row r="332" ht="15.75" customHeight="1">
      <c r="A332" s="35" t="n">
        <v>279</v>
      </c>
      <c r="B332" s="49">
        <f>IF(OR(ISNUMBER(SEARCH("Tequila", C332)), ISNUMBER(SEARCH("Tequila", D332))), "Tequila",
IF(OR(ISNUMBER(SEARCH("Rum", C332)), ISNUMBER(SEARCH("Rum", D332))), "Rum",
IF(OR(ISNUMBER(SEARCH("Whiskey", C332)), ISNUMBER(SEARCH("Whiskey", D332))), "Whiskey",
IF(OR(ISNUMBER(SEARCH("Gin", C332)), ISNUMBER(SEARCH("Gin", D332))), "Gin",
IF(OR(ISNUMBER(SEARCH("Liqueur", C332)), ISNUMBER(SEARCH("Liqueur", D332))), "Liqueur", "")))))</f>
        <v/>
      </c>
      <c r="C332" s="52" t="n"/>
      <c r="D332" s="51" t="n"/>
      <c r="E332" s="52" t="n"/>
      <c r="F332" s="51" t="n"/>
      <c r="G332" s="53" t="n"/>
      <c r="H332" s="54" t="n"/>
      <c r="I332" s="104" t="n"/>
      <c r="J332" s="105" t="n"/>
      <c r="K332" s="100" t="n"/>
      <c r="L332" s="101" t="n"/>
      <c r="M332" s="102" t="n"/>
      <c r="N332" s="103" t="n"/>
    </row>
    <row r="333" ht="15.75" customHeight="1">
      <c r="A333" s="35" t="n">
        <v>281</v>
      </c>
      <c r="B333" s="49">
        <f>IF(OR(ISNUMBER(SEARCH("Tequila", C333)), ISNUMBER(SEARCH("Tequila", D333))), "Tequila",
IF(OR(ISNUMBER(SEARCH("Rum", C333)), ISNUMBER(SEARCH("Rum", D333))), "Rum",
IF(OR(ISNUMBER(SEARCH("Whiskey", C333)), ISNUMBER(SEARCH("Whiskey", D333))), "Whiskey",
IF(OR(ISNUMBER(SEARCH("Gin", C333)), ISNUMBER(SEARCH("Gin", D333))), "Gin",
IF(OR(ISNUMBER(SEARCH("Liqueur", C333)), ISNUMBER(SEARCH("Liqueur", D333))), "Liqueur", "")))))</f>
        <v/>
      </c>
      <c r="C333" s="52" t="n"/>
      <c r="D333" s="51" t="n"/>
      <c r="E333" s="52" t="n"/>
      <c r="F333" s="51" t="n"/>
      <c r="G333" s="53" t="n"/>
      <c r="H333" s="54" t="n"/>
      <c r="I333" s="104" t="n"/>
      <c r="J333" s="105" t="n"/>
      <c r="K333" s="100" t="n"/>
      <c r="L333" s="101" t="n"/>
      <c r="M333" s="102" t="n"/>
      <c r="N333" s="103" t="n"/>
    </row>
    <row r="334" ht="15.75" customHeight="1">
      <c r="A334" s="35" t="n">
        <v>305</v>
      </c>
      <c r="B334" s="49">
        <f>IF(OR(ISNUMBER(SEARCH("Tequila", C334)), ISNUMBER(SEARCH("Tequila", D334))), "Tequila",
IF(OR(ISNUMBER(SEARCH("Rum", C334)), ISNUMBER(SEARCH("Rum", D334))), "Rum",
IF(OR(ISNUMBER(SEARCH("Whiskey", C334)), ISNUMBER(SEARCH("Whiskey", D334))), "Whiskey",
IF(OR(ISNUMBER(SEARCH("Gin", C334)), ISNUMBER(SEARCH("Gin", D334))), "Gin",
IF(OR(ISNUMBER(SEARCH("Liqueur", C334)), ISNUMBER(SEARCH("Liqueur", D334))), "Liqueur", "")))))</f>
        <v/>
      </c>
      <c r="C334" s="52" t="n"/>
      <c r="D334" s="51" t="inlineStr">
        <is>
          <t>Siembra Azul Aniversario Tequila (750mL/item) - $100.98 6</t>
        </is>
      </c>
      <c r="E334" s="52" t="n">
        <v>750</v>
      </c>
      <c r="F334" s="51">
        <f>TRIM(MID(D334, FIND("$", D334), FIND(" ", D334, FIND("$", D334)) - FIND("$", D334))
)</f>
        <v/>
      </c>
      <c r="G334" s="53" t="n">
        <v>29.57</v>
      </c>
      <c r="H334" s="54">
        <f>SUM(E334/G334)</f>
        <v/>
      </c>
      <c r="I334" s="104">
        <f>SUM(F334/H334)</f>
        <v/>
      </c>
      <c r="J334" s="105">
        <f>SUM(4*I334)</f>
        <v/>
      </c>
      <c r="K334" s="100">
        <f>SUM(I334*1.5)</f>
        <v/>
      </c>
      <c r="L334" s="101">
        <f>SUM(K334*4)</f>
        <v/>
      </c>
      <c r="M334" s="102">
        <f>SUM(I334*2)</f>
        <v/>
      </c>
      <c r="N334" s="103">
        <f>SUM(M334*4)</f>
        <v/>
      </c>
    </row>
    <row r="335" ht="15.75" customHeight="1">
      <c r="A335" s="35" t="n">
        <v>202</v>
      </c>
      <c r="B335" s="49">
        <f>IF(OR(ISNUMBER(SEARCH("Tequila", C335)), ISNUMBER(SEARCH("Tequila", D335))), "Tequila",
IF(OR(ISNUMBER(SEARCH("Rum", C335)), ISNUMBER(SEARCH("Rum", D335))), "Rum",
IF(OR(ISNUMBER(SEARCH("Whiskey", C335)), ISNUMBER(SEARCH("Whiskey", D335))), "Whiskey",
IF(OR(ISNUMBER(SEARCH("Gin", C335)), ISNUMBER(SEARCH("Gin", D335))), "Gin",
IF(OR(ISNUMBER(SEARCH("Liqueur", C335)), ISNUMBER(SEARCH("Liqueur", D335))), "Liqueur", "")))))</f>
        <v/>
      </c>
      <c r="C335" s="58" t="n"/>
      <c r="D335" s="51" t="inlineStr">
        <is>
          <t>Siembra Azul Blanco Tequila (750mL/item) - $55.65 3</t>
        </is>
      </c>
      <c r="E335" s="52" t="n">
        <v>750</v>
      </c>
      <c r="F335" s="51">
        <f>TRIM(MID(D335, FIND("$", D335), FIND(" ", D335, FIND("$", D335)) - FIND("$", D335))
)</f>
        <v/>
      </c>
      <c r="G335" s="53" t="n">
        <v>29.57</v>
      </c>
      <c r="H335" s="54">
        <f>SUM(E335/G335)</f>
        <v/>
      </c>
      <c r="I335" s="104">
        <f>SUM(F335/H335)</f>
        <v/>
      </c>
      <c r="J335" s="105">
        <f>SUM(4*I335)</f>
        <v/>
      </c>
      <c r="K335" s="100">
        <f>SUM(I335*1.5)</f>
        <v/>
      </c>
      <c r="L335" s="101">
        <f>SUM(K335*4)</f>
        <v/>
      </c>
      <c r="M335" s="102">
        <f>SUM(I335*2)</f>
        <v/>
      </c>
      <c r="N335" s="103">
        <f>SUM(M335*4)</f>
        <v/>
      </c>
    </row>
    <row r="336" ht="15.75" customHeight="1">
      <c r="A336" s="35" t="n">
        <v>203</v>
      </c>
      <c r="B336" s="49">
        <f>IF(OR(ISNUMBER(SEARCH("Tequila", C336)), ISNUMBER(SEARCH("Tequila", D336))), "Tequila",
IF(OR(ISNUMBER(SEARCH("Rum", C336)), ISNUMBER(SEARCH("Rum", D336))), "Rum",
IF(OR(ISNUMBER(SEARCH("Whiskey", C336)), ISNUMBER(SEARCH("Whiskey", D336))), "Whiskey",
IF(OR(ISNUMBER(SEARCH("Gin", C336)), ISNUMBER(SEARCH("Gin", D336))), "Gin",
IF(OR(ISNUMBER(SEARCH("Liqueur", C336)), ISNUMBER(SEARCH("Liqueur", D336))), "Liqueur", "")))))</f>
        <v/>
      </c>
      <c r="C336" s="52" t="n"/>
      <c r="D336" s="51" t="inlineStr">
        <is>
          <t>Siembra Azul Reposado Tequila (750mL/item) - $66.15 2</t>
        </is>
      </c>
      <c r="E336" s="52" t="n">
        <v>750</v>
      </c>
      <c r="F336" s="51">
        <f>TRIM(MID(D336, FIND("$", D336), FIND(" ", D336, FIND("$", D336)) - FIND("$", D336))
)</f>
        <v/>
      </c>
      <c r="G336" s="53" t="n">
        <v>29.57</v>
      </c>
      <c r="H336" s="54">
        <f>SUM(E336/G336)</f>
        <v/>
      </c>
      <c r="I336" s="104">
        <f>SUM(F336/H336)</f>
        <v/>
      </c>
      <c r="J336" s="105">
        <f>SUM(4*I336)</f>
        <v/>
      </c>
      <c r="K336" s="100">
        <f>SUM(I336*1.5)</f>
        <v/>
      </c>
      <c r="L336" s="101">
        <f>SUM(K336*4)</f>
        <v/>
      </c>
      <c r="M336" s="102">
        <f>SUM(I336*2)</f>
        <v/>
      </c>
      <c r="N336" s="103">
        <f>SUM(M336*4)</f>
        <v/>
      </c>
    </row>
    <row r="337" ht="15.75" customHeight="1">
      <c r="A337" s="35" t="n">
        <v>205</v>
      </c>
      <c r="B337" s="49">
        <f>IF(OR(ISNUMBER(SEARCH("Tequila", C337)), ISNUMBER(SEARCH("Tequila", D337))), "Tequila",
IF(OR(ISNUMBER(SEARCH("Rum", C337)), ISNUMBER(SEARCH("Rum", D337))), "Rum",
IF(OR(ISNUMBER(SEARCH("Whiskey", C337)), ISNUMBER(SEARCH("Whiskey", D337))), "Whiskey",
IF(OR(ISNUMBER(SEARCH("Gin", C337)), ISNUMBER(SEARCH("Gin", D337))), "Gin",
IF(OR(ISNUMBER(SEARCH("Liqueur", C337)), ISNUMBER(SEARCH("Liqueur", D337))), "Liqueur", "")))))</f>
        <v/>
      </c>
      <c r="C337" s="52" t="n"/>
      <c r="D337" s="51" t="inlineStr">
        <is>
          <t>Siembra Valles Ancestral Tequila (750mL/item) - $127.05 1</t>
        </is>
      </c>
      <c r="E337" s="52" t="n">
        <v>750</v>
      </c>
      <c r="F337" s="51">
        <f>TRIM(MID(D337, FIND("$", D337), FIND(" ", D337, FIND("$", D337)) - FIND("$", D337))
)</f>
        <v/>
      </c>
      <c r="G337" s="53" t="n">
        <v>29.57</v>
      </c>
      <c r="H337" s="54">
        <f>SUM(E337/G337)</f>
        <v/>
      </c>
      <c r="I337" s="104">
        <f>SUM(F337/H337)</f>
        <v/>
      </c>
      <c r="J337" s="105">
        <f>SUM(4*I337)</f>
        <v/>
      </c>
      <c r="K337" s="100">
        <f>SUM(I337*1.5)</f>
        <v/>
      </c>
      <c r="L337" s="101">
        <f>SUM(K337*4)</f>
        <v/>
      </c>
      <c r="M337" s="102">
        <f>SUM(I337*2)</f>
        <v/>
      </c>
      <c r="N337" s="103">
        <f>SUM(M337*4)</f>
        <v/>
      </c>
    </row>
    <row r="338" ht="15.75" customHeight="1">
      <c r="A338" s="35" t="n">
        <v>57</v>
      </c>
      <c r="B338" s="49">
        <f>IF(OR(ISNUMBER(SEARCH("Tequila", C338)), ISNUMBER(SEARCH("Tequila", D338))), "Tequila",
IF(OR(ISNUMBER(SEARCH("Rum", C338)), ISNUMBER(SEARCH("Rum", D338))), "Rum",
IF(OR(ISNUMBER(SEARCH("Whiskey", C338)), ISNUMBER(SEARCH("Whiskey", D338))), "Whiskey",
IF(OR(ISNUMBER(SEARCH("Gin", C338)), ISNUMBER(SEARCH("Gin", D338))), "Gin",
IF(OR(ISNUMBER(SEARCH("Liqueur", C338)), ISNUMBER(SEARCH("Liqueur", D338))), "Liqueur", "")))))</f>
        <v/>
      </c>
      <c r="C338" s="52" t="n"/>
      <c r="D338" s="51" t="inlineStr">
        <is>
          <t>Siembra Valles Anejo Tequila (750ml/item) - $80.85 3</t>
        </is>
      </c>
      <c r="E338" s="52" t="n">
        <v>750</v>
      </c>
      <c r="F338" s="51">
        <f>TRIM(MID(D338, FIND("$", D338), FIND(" ", D338, FIND("$", D338)) - FIND("$", D338))
)</f>
        <v/>
      </c>
      <c r="G338" s="53" t="n">
        <v>29.57</v>
      </c>
      <c r="H338" s="54">
        <f>SUM(E338/G338)</f>
        <v/>
      </c>
      <c r="I338" s="104">
        <f>SUM(F338/H338)</f>
        <v/>
      </c>
      <c r="J338" s="105">
        <f>SUM(4*I338)</f>
        <v/>
      </c>
      <c r="K338" s="100">
        <f>SUM(I338*1.5)</f>
        <v/>
      </c>
      <c r="L338" s="101">
        <f>SUM(K338*4)</f>
        <v/>
      </c>
      <c r="M338" s="102">
        <f>SUM(I338*2)</f>
        <v/>
      </c>
      <c r="N338" s="103">
        <f>SUM(M338*4)</f>
        <v/>
      </c>
    </row>
    <row r="339" ht="15.75" customHeight="1">
      <c r="A339" s="35" t="n">
        <v>204</v>
      </c>
      <c r="B339" s="49">
        <f>IF(OR(ISNUMBER(SEARCH("Tequila", C339)), ISNUMBER(SEARCH("Tequila", D339))), "Tequila",
IF(OR(ISNUMBER(SEARCH("Rum", C339)), ISNUMBER(SEARCH("Rum", D339))), "Rum",
IF(OR(ISNUMBER(SEARCH("Whiskey", C339)), ISNUMBER(SEARCH("Whiskey", D339))), "Whiskey",
IF(OR(ISNUMBER(SEARCH("Gin", C339)), ISNUMBER(SEARCH("Gin", D339))), "Gin",
IF(OR(ISNUMBER(SEARCH("Liqueur", C339)), ISNUMBER(SEARCH("Liqueur", D339))), "Liqueur", "")))))</f>
        <v/>
      </c>
      <c r="C339" s="58" t="n"/>
      <c r="D339" s="51" t="inlineStr">
        <is>
          <t>Siembra Valles Blanco Tequila (750mL/item) - $55.65 3</t>
        </is>
      </c>
      <c r="E339" s="52" t="n">
        <v>750</v>
      </c>
      <c r="F339" s="51">
        <f>TRIM(MID(D339, FIND("$", D339), FIND(" ", D339, FIND("$", D339)) - FIND("$", D339))
)</f>
        <v/>
      </c>
      <c r="G339" s="53" t="n">
        <v>29.57</v>
      </c>
      <c r="H339" s="54">
        <f>SUM(E339/G339)</f>
        <v/>
      </c>
      <c r="I339" s="104">
        <f>SUM(F339/H339)</f>
        <v/>
      </c>
      <c r="J339" s="105">
        <f>SUM(4*I339)</f>
        <v/>
      </c>
      <c r="K339" s="100">
        <f>SUM(I339*1.5)</f>
        <v/>
      </c>
      <c r="L339" s="101">
        <f>SUM(K339*4)</f>
        <v/>
      </c>
      <c r="M339" s="102">
        <f>SUM(I339*2)</f>
        <v/>
      </c>
      <c r="N339" s="103">
        <f>SUM(M339*4)</f>
        <v/>
      </c>
    </row>
    <row r="340" ht="15.75" customHeight="1">
      <c r="A340" s="35" t="n">
        <v>323</v>
      </c>
      <c r="B340" s="49">
        <f>IF(OR(ISNUMBER(SEARCH("Tequila", C340)), ISNUMBER(SEARCH("Tequila", D340))), "Tequila",
IF(OR(ISNUMBER(SEARCH("Rum", C340)), ISNUMBER(SEARCH("Rum", D340))), "Rum",
IF(OR(ISNUMBER(SEARCH("Whiskey", C340)), ISNUMBER(SEARCH("Whiskey", D340))), "Whiskey",
IF(OR(ISNUMBER(SEARCH("Gin", C340)), ISNUMBER(SEARCH("Gin", D340))), "Gin",
IF(OR(ISNUMBER(SEARCH("Liqueur", C340)), ISNUMBER(SEARCH("Liqueur", D340))), "Liqueur", "")))))</f>
        <v/>
      </c>
      <c r="C340" s="52" t="n"/>
      <c r="D340" s="51" t="inlineStr">
        <is>
          <t>Siembra Valles Reposado Tequila (750mL/item) - $42.00 2</t>
        </is>
      </c>
      <c r="E340" s="52" t="n">
        <v>750</v>
      </c>
      <c r="F340" s="51">
        <f>TRIM(MID(D340, FIND("$", D340), FIND(" ", D340, FIND("$", D340)) - FIND("$", D340))
)</f>
        <v/>
      </c>
      <c r="G340" s="53" t="n">
        <v>29.57</v>
      </c>
      <c r="H340" s="54">
        <f>SUM(E340/G340)</f>
        <v/>
      </c>
      <c r="I340" s="104">
        <f>SUM(F340/H340)</f>
        <v/>
      </c>
      <c r="J340" s="105">
        <f>SUM(4*I340)</f>
        <v/>
      </c>
      <c r="K340" s="100">
        <f>SUM(I340*1.5)</f>
        <v/>
      </c>
      <c r="L340" s="101">
        <f>SUM(K340*4)</f>
        <v/>
      </c>
      <c r="M340" s="102">
        <f>SUM(I340*2)</f>
        <v/>
      </c>
      <c r="N340" s="103">
        <f>SUM(M340*4)</f>
        <v/>
      </c>
    </row>
    <row r="341" ht="15.75" customHeight="1">
      <c r="A341" s="35" t="n">
        <v>175</v>
      </c>
      <c r="B341" s="49">
        <f>IF(OR(ISNUMBER(SEARCH("Tequila", C341)), ISNUMBER(SEARCH("Tequila", D341))), "Tequila",
IF(OR(ISNUMBER(SEARCH("Rum", C341)), ISNUMBER(SEARCH("Rum", D341))), "Rum",
IF(OR(ISNUMBER(SEARCH("Whiskey", C341)), ISNUMBER(SEARCH("Whiskey", D341))), "Whiskey",
IF(OR(ISNUMBER(SEARCH("Gin", C341)), ISNUMBER(SEARCH("Gin", D341))), "Gin",
IF(OR(ISNUMBER(SEARCH("Liqueur", C341)), ISNUMBER(SEARCH("Liqueur", D341))), "Liqueur", "")))))</f>
        <v/>
      </c>
      <c r="C341" s="58" t="n"/>
      <c r="D341" s="51" t="inlineStr">
        <is>
          <t>Siete Leguas Blanco Tequila (750mL/item) - $45.40 1</t>
        </is>
      </c>
      <c r="E341" s="52" t="n">
        <v>750</v>
      </c>
      <c r="F341" s="51">
        <f>TRIM(MID(D341, FIND("$", D341), FIND(" ", D341, FIND("$", D341)) - FIND("$", D341))
)</f>
        <v/>
      </c>
      <c r="G341" s="53" t="n">
        <v>29.57</v>
      </c>
      <c r="H341" s="54">
        <f>SUM(E341/G341)</f>
        <v/>
      </c>
      <c r="I341" s="104">
        <f>SUM(F341/H341)</f>
        <v/>
      </c>
      <c r="J341" s="105">
        <f>SUM(4*I341)</f>
        <v/>
      </c>
      <c r="K341" s="100">
        <f>SUM(I341*1.5)</f>
        <v/>
      </c>
      <c r="L341" s="101">
        <f>SUM(K341*4)</f>
        <v/>
      </c>
      <c r="M341" s="102">
        <f>SUM(I341*2)</f>
        <v/>
      </c>
      <c r="N341" s="103">
        <f>SUM(M341*4)</f>
        <v/>
      </c>
    </row>
    <row r="342" ht="15.75" customHeight="1">
      <c r="A342" s="35" t="n">
        <v>176</v>
      </c>
      <c r="B342" s="49">
        <f>IF(OR(ISNUMBER(SEARCH("Tequila", C342)), ISNUMBER(SEARCH("Tequila", D342))), "Tequila",
IF(OR(ISNUMBER(SEARCH("Rum", C342)), ISNUMBER(SEARCH("Rum", D342))), "Rum",
IF(OR(ISNUMBER(SEARCH("Whiskey", C342)), ISNUMBER(SEARCH("Whiskey", D342))), "Whiskey",
IF(OR(ISNUMBER(SEARCH("Gin", C342)), ISNUMBER(SEARCH("Gin", D342))), "Gin",
IF(OR(ISNUMBER(SEARCH("Liqueur", C342)), ISNUMBER(SEARCH("Liqueur", D342))), "Liqueur", "")))))</f>
        <v/>
      </c>
      <c r="C342" s="52" t="n"/>
      <c r="D342" s="51" t="inlineStr">
        <is>
          <t>Siete Leguas Reposado Tequila (700mL/item) - $47.40 1</t>
        </is>
      </c>
      <c r="E342" s="52" t="n">
        <v>750</v>
      </c>
      <c r="F342" s="51">
        <f>TRIM(MID(D342, FIND("$", D342), FIND(" ", D342, FIND("$", D342)) - FIND("$", D342))
)</f>
        <v/>
      </c>
      <c r="G342" s="53" t="n">
        <v>29.57</v>
      </c>
      <c r="H342" s="54">
        <f>SUM(E342/G342)</f>
        <v/>
      </c>
      <c r="I342" s="104">
        <f>SUM(F342/H342)</f>
        <v/>
      </c>
      <c r="J342" s="105">
        <f>SUM(4*I342)</f>
        <v/>
      </c>
      <c r="K342" s="100">
        <f>SUM(I342*1.5)</f>
        <v/>
      </c>
      <c r="L342" s="101">
        <f>SUM(K342*4)</f>
        <v/>
      </c>
      <c r="M342" s="102">
        <f>SUM(I342*2)</f>
        <v/>
      </c>
      <c r="N342" s="103">
        <f>SUM(M342*4)</f>
        <v/>
      </c>
    </row>
    <row r="343" ht="15.75" customHeight="1">
      <c r="A343" s="35" t="n">
        <v>282</v>
      </c>
      <c r="B343" s="49">
        <f>IF(OR(ISNUMBER(SEARCH("Tequila", C343)), ISNUMBER(SEARCH("Tequila", D343))), "Tequila",
IF(OR(ISNUMBER(SEARCH("Rum", C343)), ISNUMBER(SEARCH("Rum", D343))), "Rum",
IF(OR(ISNUMBER(SEARCH("Whiskey", C343)), ISNUMBER(SEARCH("Whiskey", D343))), "Whiskey",
IF(OR(ISNUMBER(SEARCH("Gin", C343)), ISNUMBER(SEARCH("Gin", D343))), "Gin",
IF(OR(ISNUMBER(SEARCH("Liqueur", C343)), ISNUMBER(SEARCH("Liqueur", D343))), "Liqueur", "")))))</f>
        <v/>
      </c>
      <c r="C343" s="52" t="n"/>
      <c r="D343" s="51" t="n"/>
      <c r="E343" s="52" t="n"/>
      <c r="F343" s="51" t="n"/>
      <c r="G343" s="53" t="n"/>
      <c r="H343" s="54" t="n"/>
      <c r="I343" s="104" t="n"/>
      <c r="J343" s="105" t="n"/>
      <c r="K343" s="100" t="n"/>
      <c r="L343" s="101" t="n"/>
      <c r="M343" s="102" t="n"/>
      <c r="N343" s="103" t="n"/>
    </row>
    <row r="344" ht="15.75" customHeight="1">
      <c r="A344" s="35" t="n">
        <v>320</v>
      </c>
      <c r="B344" s="49">
        <f>IF(OR(ISNUMBER(SEARCH("Tequila", C344)), ISNUMBER(SEARCH("Tequila", D344))), "Tequila",
IF(OR(ISNUMBER(SEARCH("Rum", C344)), ISNUMBER(SEARCH("Rum", D344))), "Rum",
IF(OR(ISNUMBER(SEARCH("Whiskey", C344)), ISNUMBER(SEARCH("Whiskey", D344))), "Whiskey",
IF(OR(ISNUMBER(SEARCH("Gin", C344)), ISNUMBER(SEARCH("Gin", D344))), "Gin",
IF(OR(ISNUMBER(SEARCH("Liqueur", C344)), ISNUMBER(SEARCH("Liqueur", D344))), "Liqueur", "")))))</f>
        <v/>
      </c>
      <c r="C344" s="52" t="n"/>
      <c r="D344" s="51" t="n"/>
      <c r="E344" s="52" t="n"/>
      <c r="F344" s="51" t="n"/>
      <c r="G344" s="53" t="n"/>
      <c r="H344" s="54" t="n"/>
      <c r="I344" s="104" t="n"/>
      <c r="J344" s="105" t="n"/>
      <c r="K344" s="100" t="n"/>
      <c r="L344" s="101" t="n"/>
      <c r="M344" s="102" t="n"/>
      <c r="N344" s="103" t="n"/>
    </row>
    <row r="345" ht="15.75" customHeight="1">
      <c r="A345" s="35" t="n">
        <v>6</v>
      </c>
      <c r="B345" s="49" t="inlineStr">
        <is>
          <t>tequila</t>
        </is>
      </c>
      <c r="C345" s="52" t="n"/>
      <c r="D345" s="51" t="inlineStr">
        <is>
          <t>Skelly Anejo Tequila (750mL|/item) $101.78 6</t>
        </is>
      </c>
      <c r="E345" s="52" t="n">
        <v>750</v>
      </c>
      <c r="F345" s="51">
        <f>TRIM(MID(D345, FIND("$", D345), FIND(" ", D345, FIND("$", D345)) - FIND("$", D345))
)</f>
        <v/>
      </c>
      <c r="G345" s="53" t="n">
        <v>29.57</v>
      </c>
      <c r="H345" s="54">
        <f>SUM(E345/G345)</f>
        <v/>
      </c>
      <c r="I345" s="104">
        <f>SUM(F345/H345)</f>
        <v/>
      </c>
      <c r="J345" s="105">
        <f>SUM(4*I345)</f>
        <v/>
      </c>
      <c r="K345" s="100">
        <f>SUM(I345*1.5)</f>
        <v/>
      </c>
      <c r="L345" s="101">
        <f>SUM(K345*4)</f>
        <v/>
      </c>
      <c r="M345" s="102">
        <f>SUM(I345*2)</f>
        <v/>
      </c>
      <c r="N345" s="103">
        <f>SUM(M345*4)</f>
        <v/>
      </c>
    </row>
    <row r="346" ht="15.75" customHeight="1">
      <c r="A346" s="35" t="n">
        <v>7</v>
      </c>
      <c r="B346" s="49" t="inlineStr">
        <is>
          <t>tequila</t>
        </is>
      </c>
      <c r="C346" s="58" t="n"/>
      <c r="D346" s="51" t="inlineStr">
        <is>
          <t>Skelly Blanco Tequila (750mL/ item) $59.29 6</t>
        </is>
      </c>
      <c r="E346" s="52" t="n">
        <v>750</v>
      </c>
      <c r="F346" s="51">
        <f>TRIM(MID(D346, FIND("$", D346), FIND(" ", D346, FIND("$", D346)) - FIND("$", D346))
)</f>
        <v/>
      </c>
      <c r="G346" s="53" t="n">
        <v>29.57</v>
      </c>
      <c r="H346" s="54">
        <f>SUM(E346/G346)</f>
        <v/>
      </c>
      <c r="I346" s="104">
        <f>SUM(F346/H346)</f>
        <v/>
      </c>
      <c r="J346" s="105">
        <f>SUM(4*I346)</f>
        <v/>
      </c>
      <c r="K346" s="100">
        <f>SUM(I346*1.5)</f>
        <v/>
      </c>
      <c r="L346" s="101">
        <f>SUM(K346*4)</f>
        <v/>
      </c>
      <c r="M346" s="102">
        <f>SUM(I346*2)</f>
        <v/>
      </c>
      <c r="N346" s="103">
        <f>SUM(M346*4)</f>
        <v/>
      </c>
    </row>
    <row r="347" ht="15.75" customHeight="1">
      <c r="A347" s="35" t="n">
        <v>8</v>
      </c>
      <c r="B347" s="49" t="inlineStr">
        <is>
          <t>tequila</t>
        </is>
      </c>
      <c r="C347" s="52" t="n"/>
      <c r="D347" s="51" t="inlineStr">
        <is>
          <t>Skelly Reposado Tequila (750mL/ item) $67.46 6</t>
        </is>
      </c>
      <c r="E347" s="52" t="n">
        <v>750</v>
      </c>
      <c r="F347" s="51">
        <f>TRIM(MID(D347, FIND("$", D347), FIND(" ", D347, FIND("$", D347)) - FIND("$", D347))
)</f>
        <v/>
      </c>
      <c r="G347" s="53" t="n">
        <v>29.57</v>
      </c>
      <c r="H347" s="54">
        <f>SUM(E347/G347)</f>
        <v/>
      </c>
      <c r="I347" s="104">
        <f>SUM(F347/H347)</f>
        <v/>
      </c>
      <c r="J347" s="105">
        <f>SUM(4*I347)</f>
        <v/>
      </c>
      <c r="K347" s="100">
        <f>SUM(I347*1.5)</f>
        <v/>
      </c>
      <c r="L347" s="101">
        <f>SUM(K347*4)</f>
        <v/>
      </c>
      <c r="M347" s="102">
        <f>SUM(I347*2)</f>
        <v/>
      </c>
      <c r="N347" s="103">
        <f>SUM(M347*4)</f>
        <v/>
      </c>
    </row>
    <row r="348" ht="15.75" customHeight="1">
      <c r="A348" s="35" t="n">
        <v>9</v>
      </c>
      <c r="B348" s="49" t="inlineStr">
        <is>
          <t>tequila</t>
        </is>
      </c>
      <c r="C348" s="52" t="n"/>
      <c r="D348" s="51" t="inlineStr">
        <is>
          <t>Skelly Talavera Anejo Tequila (750mL / item) $140.19 6</t>
        </is>
      </c>
      <c r="E348" s="52" t="n">
        <v>750</v>
      </c>
      <c r="F348" s="51">
        <f>TRIM(MID(D348, FIND("$", D348), FIND(" ", D348, FIND("$", D348)) - FIND("$", D348))
)</f>
        <v/>
      </c>
      <c r="G348" s="53" t="n">
        <v>29.57</v>
      </c>
      <c r="H348" s="54">
        <f>SUM(E348/G348)</f>
        <v/>
      </c>
      <c r="I348" s="104">
        <f>SUM(F348/H348)</f>
        <v/>
      </c>
      <c r="J348" s="105">
        <f>SUM(4*I348)</f>
        <v/>
      </c>
      <c r="K348" s="100">
        <f>SUM(I348*1.5)</f>
        <v/>
      </c>
      <c r="L348" s="101">
        <f>SUM(K348*4)</f>
        <v/>
      </c>
      <c r="M348" s="102">
        <f>SUM(I348*2)</f>
        <v/>
      </c>
      <c r="N348" s="103">
        <f>SUM(M348*4)</f>
        <v/>
      </c>
    </row>
    <row r="349" ht="15.75" customHeight="1">
      <c r="A349" s="35" t="n">
        <v>318</v>
      </c>
      <c r="B349" s="49">
        <f>IF(OR(ISNUMBER(SEARCH("Tequila", C349)), ISNUMBER(SEARCH("Tequila", D349))), "Tequila",
 IF(OR(ISNUMBER(SEARCH("Rum", C349)), ISNUMBER(SEARCH("Rum", D349))), "Rum",
 IF(OR(ISNUMBER(SEARCH("Whiskey", C349)), ISNUMBER(SEARCH("Whiskey", D349))), "Whiskey",
 IF(OR(ISNUMBER(SEARCH("Gin", C349)), ISNUMBER(SEARCH("Gin", D349))), "Gin",
 IF(OR(ISNUMBER(SEARCH("Liqueur", C349)), ISNUMBER(SEARCH("Liqueur", D349))), "Liqueur", "")))))</f>
        <v/>
      </c>
      <c r="C349" s="52" t="n"/>
      <c r="D349" s="51" t="n"/>
      <c r="E349" s="52" t="n"/>
      <c r="F349" s="51" t="n"/>
      <c r="G349" s="53" t="n"/>
      <c r="H349" s="54" t="n"/>
      <c r="I349" s="104" t="n"/>
      <c r="J349" s="105" t="n"/>
      <c r="K349" s="100" t="n"/>
      <c r="L349" s="101" t="n"/>
      <c r="M349" s="102" t="n"/>
      <c r="N349" s="103" t="n"/>
    </row>
    <row r="350" ht="15.75" customHeight="1">
      <c r="A350" s="35" t="n">
        <v>256</v>
      </c>
      <c r="B350" s="49">
        <f>IF(OR(ISNUMBER(SEARCH("Tequila", C350)), ISNUMBER(SEARCH("Tequila", D350))), "Tequila",
IF(OR(ISNUMBER(SEARCH("Rum", C350)), ISNUMBER(SEARCH("Rum", D350))), "Rum",
IF(OR(ISNUMBER(SEARCH("Whiskey", C350)), ISNUMBER(SEARCH("Whiskey", D350))), "Whiskey",
IF(OR(ISNUMBER(SEARCH("Gin", C350)), ISNUMBER(SEARCH("Gin", D350))), "Gin",
IF(OR(ISNUMBER(SEARCH("Liqueur", C350)), ISNUMBER(SEARCH("Liqueur", D350))), "Liqueur", "")))))</f>
        <v/>
      </c>
      <c r="C350" s="52" t="n"/>
      <c r="D350" s="51" t="n"/>
      <c r="E350" s="52" t="n"/>
      <c r="F350" s="51" t="n"/>
      <c r="G350" s="53" t="n"/>
      <c r="H350" s="54" t="n"/>
      <c r="I350" s="104" t="n"/>
      <c r="J350" s="105" t="n"/>
      <c r="K350" s="100" t="n"/>
      <c r="L350" s="101" t="n"/>
      <c r="M350" s="102" t="n"/>
      <c r="N350" s="103" t="n"/>
    </row>
    <row r="351" ht="15.75" customHeight="1">
      <c r="A351" s="35" t="n">
        <v>289</v>
      </c>
      <c r="B351" s="49">
        <f>IF(OR(ISNUMBER(SEARCH("Tequila", C351)), ISNUMBER(SEARCH("Tequila", D351))), "Tequila",
IF(OR(ISNUMBER(SEARCH("Rum", C351)), ISNUMBER(SEARCH("Rum", D351))), "Rum",
IF(OR(ISNUMBER(SEARCH("Whiskey", C351)), ISNUMBER(SEARCH("Whiskey", D351))), "Whiskey",
IF(OR(ISNUMBER(SEARCH("Gin", C351)), ISNUMBER(SEARCH("Gin", D351))), "Gin",
IF(OR(ISNUMBER(SEARCH("Liqueur", C351)), ISNUMBER(SEARCH("Liqueur", D351))), "Liqueur", "")))))</f>
        <v/>
      </c>
      <c r="C351" s="52" t="n"/>
      <c r="D351" s="51" t="n"/>
      <c r="E351" s="52" t="n"/>
      <c r="F351" s="51" t="n"/>
      <c r="G351" s="53" t="n"/>
      <c r="H351" s="54" t="n"/>
      <c r="I351" s="104" t="n"/>
      <c r="J351" s="105" t="n"/>
      <c r="K351" s="100" t="n"/>
      <c r="L351" s="101" t="n"/>
      <c r="M351" s="102" t="n"/>
      <c r="N351" s="103" t="n"/>
    </row>
    <row r="352" ht="15.75" customHeight="1">
      <c r="A352" s="35" t="n">
        <v>329</v>
      </c>
      <c r="B352" s="49">
        <f>IF(OR(ISNUMBER(SEARCH("Tequila", C352)), ISNUMBER(SEARCH("Tequila", D352))), "Tequila",
IF(OR(ISNUMBER(SEARCH("Rum", C352)), ISNUMBER(SEARCH("Rum", D352))), "Rum",
IF(OR(ISNUMBER(SEARCH("Whiskey", C352)), ISNUMBER(SEARCH("Whiskey", D352))), "Whiskey",
IF(OR(ISNUMBER(SEARCH("Gin", C352)), ISNUMBER(SEARCH("Gin", D352))), "Gin",
IF(OR(ISNUMBER(SEARCH("Liqueur", C352)), ISNUMBER(SEARCH("Liqueur", D352))), "Liqueur", "")))))</f>
        <v/>
      </c>
      <c r="C352" s="52" t="n"/>
      <c r="D352" s="51" t="inlineStr">
        <is>
          <t>Tanqueray Gin (750mL/item) - $25.33 2</t>
        </is>
      </c>
      <c r="E352" s="52" t="n">
        <v>750</v>
      </c>
      <c r="F352" s="51">
        <f>TRIM(MID(D352, FIND("$", D352), FIND(" ", D352, FIND("$", D352)) - FIND("$", D352))
)</f>
        <v/>
      </c>
      <c r="G352" s="53" t="n">
        <v>29.57</v>
      </c>
      <c r="H352" s="54">
        <f>SUM(E352/G352)</f>
        <v/>
      </c>
      <c r="I352" s="104">
        <f>SUM(F352/H352)</f>
        <v/>
      </c>
      <c r="J352" s="105">
        <f>SUM(4*I352)</f>
        <v/>
      </c>
      <c r="K352" s="100">
        <f>SUM(I352*1.5)</f>
        <v/>
      </c>
      <c r="L352" s="101">
        <f>SUM(K352*4)</f>
        <v/>
      </c>
      <c r="M352" s="102">
        <f>SUM(I352*2)</f>
        <v/>
      </c>
      <c r="N352" s="103">
        <f>SUM(M352*4)</f>
        <v/>
      </c>
    </row>
    <row r="353" ht="15.75" customHeight="1">
      <c r="A353" s="35" t="n">
        <v>47</v>
      </c>
      <c r="B353" s="49">
        <f>IF(OR(ISNUMBER(SEARCH("Tequila", C353)), ISNUMBER(SEARCH("Tequila", D353))), "Tequila",
IF(OR(ISNUMBER(SEARCH("Rum", C353)), ISNUMBER(SEARCH("Rum", D353))), "Rum",
IF(OR(ISNUMBER(SEARCH("Whiskey", C353)), ISNUMBER(SEARCH("Whiskey", D353))), "Whiskey",
IF(OR(ISNUMBER(SEARCH("Gin", C353)), ISNUMBER(SEARCH("Gin", D353))), "Gin",
IF(OR(ISNUMBER(SEARCH("Liqueur", C353)), ISNUMBER(SEARCH("Liqueur", D353))), "Liqueur", "")))))</f>
        <v/>
      </c>
      <c r="C353" s="58" t="n"/>
      <c r="D353" s="51" t="inlineStr">
        <is>
          <t>Tapatio 110pf Blanco Tequila (750mL/item) - $49.35 2</t>
        </is>
      </c>
      <c r="E353" s="52" t="n">
        <v>750</v>
      </c>
      <c r="F353" s="51">
        <f>TRIM(MID(D353, FIND("$", D353), FIND(" ", D353, FIND("$", D353)) - FIND("$", D353))
)</f>
        <v/>
      </c>
      <c r="G353" s="53" t="n">
        <v>29.57</v>
      </c>
      <c r="H353" s="54">
        <f>SUM(E353/G353)</f>
        <v/>
      </c>
      <c r="I353" s="104">
        <f>SUM(F353/H353)</f>
        <v/>
      </c>
      <c r="J353" s="105">
        <f>SUM(4*I353)</f>
        <v/>
      </c>
      <c r="K353" s="100">
        <f>SUM(I353*1.5)</f>
        <v/>
      </c>
      <c r="L353" s="101">
        <f>SUM(K353*4)</f>
        <v/>
      </c>
      <c r="M353" s="102">
        <f>SUM(I353*2)</f>
        <v/>
      </c>
      <c r="N353" s="103">
        <f>SUM(M353*4)</f>
        <v/>
      </c>
    </row>
    <row r="354" ht="15.75" customHeight="1">
      <c r="A354" s="35" t="n">
        <v>45</v>
      </c>
      <c r="B354" s="49">
        <f>IF(OR(ISNUMBER(SEARCH("Tequila", C354)), ISNUMBER(SEARCH("Tequila", D354))), "Tequila",
IF(OR(ISNUMBER(SEARCH("Rum", C354)), ISNUMBER(SEARCH("Rum", D354))), "Rum",
IF(OR(ISNUMBER(SEARCH("Whiskey", C354)), ISNUMBER(SEARCH("Whiskey", D354))), "Whiskey",
IF(OR(ISNUMBER(SEARCH("Gin", C354)), ISNUMBER(SEARCH("Gin", D354))), "Gin",
IF(OR(ISNUMBER(SEARCH("Liqueur", C354)), ISNUMBER(SEARCH("Liqueur", D354))), "Liqueur", "")))))</f>
        <v/>
      </c>
      <c r="C354" s="52" t="n"/>
      <c r="D354" s="51" t="inlineStr">
        <is>
          <t>Tapatio Anejo Tequila (750mL/item) - $44.10 1</t>
        </is>
      </c>
      <c r="E354" s="52" t="n">
        <v>750</v>
      </c>
      <c r="F354" s="51">
        <f>TRIM(MID(D354, FIND("$", D354), FIND(" ", D354, FIND("$", D354)) - FIND("$", D354))
)</f>
        <v/>
      </c>
      <c r="G354" s="53" t="n">
        <v>29.57</v>
      </c>
      <c r="H354" s="54">
        <f>SUM(E354/G354)</f>
        <v/>
      </c>
      <c r="I354" s="104">
        <f>SUM(F354/H354)</f>
        <v/>
      </c>
      <c r="J354" s="105">
        <f>SUM(4*I354)</f>
        <v/>
      </c>
      <c r="K354" s="100">
        <f>SUM(I354*1.5)</f>
        <v/>
      </c>
      <c r="L354" s="101">
        <f>SUM(K354*4)</f>
        <v/>
      </c>
      <c r="M354" s="102">
        <f>SUM(I354*2)</f>
        <v/>
      </c>
      <c r="N354" s="103">
        <f>SUM(M354*4)</f>
        <v/>
      </c>
    </row>
    <row r="355" ht="15.75" customHeight="1">
      <c r="A355" s="35" t="n">
        <v>48</v>
      </c>
      <c r="B355" s="49">
        <f>IF(OR(ISNUMBER(SEARCH("Tequila", C355)), ISNUMBER(SEARCH("Tequila", D355))), "Tequila",
IF(OR(ISNUMBER(SEARCH("Rum", C355)), ISNUMBER(SEARCH("Rum", D355))), "Rum",
IF(OR(ISNUMBER(SEARCH("Whiskey", C355)), ISNUMBER(SEARCH("Whiskey", D355))), "Whiskey",
IF(OR(ISNUMBER(SEARCH("Gin", C355)), ISNUMBER(SEARCH("Gin", D355))), "Gin",
IF(OR(ISNUMBER(SEARCH("Liqueur", C355)), ISNUMBER(SEARCH("Liqueur", D355))), "Liqueur", "")))))</f>
        <v/>
      </c>
      <c r="C355" s="58" t="n"/>
      <c r="D355" s="51" t="inlineStr">
        <is>
          <t>Tapatio Blanco Tequila (750mL/item) - $32.55 1</t>
        </is>
      </c>
      <c r="E355" s="52" t="n">
        <v>750</v>
      </c>
      <c r="F355" s="51">
        <f>TRIM(MID(D355, FIND("$", D355), FIND(" ", D355, FIND("$", D355)) - FIND("$", D355))
)</f>
        <v/>
      </c>
      <c r="G355" s="53" t="n">
        <v>29.57</v>
      </c>
      <c r="H355" s="54">
        <f>SUM(E355/G355)</f>
        <v/>
      </c>
      <c r="I355" s="104">
        <f>SUM(F355/H355)</f>
        <v/>
      </c>
      <c r="J355" s="105">
        <f>SUM(4*I355)</f>
        <v/>
      </c>
      <c r="K355" s="100">
        <f>SUM(I355*1.5)</f>
        <v/>
      </c>
      <c r="L355" s="101">
        <f>SUM(K355*4)</f>
        <v/>
      </c>
      <c r="M355" s="102">
        <f>SUM(I355*2)</f>
        <v/>
      </c>
      <c r="N355" s="103">
        <f>SUM(M355*4)</f>
        <v/>
      </c>
    </row>
    <row r="356" ht="15.75" customHeight="1">
      <c r="A356" s="35" t="n">
        <v>46</v>
      </c>
      <c r="B356" s="49">
        <f>IF(OR(ISNUMBER(SEARCH("Tequila", C356)), ISNUMBER(SEARCH("Tequila", D356))), "Tequila",
IF(OR(ISNUMBER(SEARCH("Rum", C356)), ISNUMBER(SEARCH("Rum", D356))), "Rum",
IF(OR(ISNUMBER(SEARCH("Whiskey", C356)), ISNUMBER(SEARCH("Whiskey", D356))), "Whiskey",
IF(OR(ISNUMBER(SEARCH("Gin", C356)), ISNUMBER(SEARCH("Gin", D356))), "Gin",
IF(OR(ISNUMBER(SEARCH("Liqueur", C356)), ISNUMBER(SEARCH("Liqueur", D356))), "Liqueur", "")))))</f>
        <v/>
      </c>
      <c r="C356" s="52" t="n"/>
      <c r="D356" s="51" t="inlineStr">
        <is>
          <t>Tapatio Reposado Tequila (750mL/item) - $37.80 2</t>
        </is>
      </c>
      <c r="E356" s="52" t="n">
        <v>750</v>
      </c>
      <c r="F356" s="51">
        <f>TRIM(MID(D356, FIND("$", D356), FIND(" ", D356, FIND("$", D356)) - FIND("$", D356))
)</f>
        <v/>
      </c>
      <c r="G356" s="53" t="n">
        <v>29.57</v>
      </c>
      <c r="H356" s="54">
        <f>SUM(E356/G356)</f>
        <v/>
      </c>
      <c r="I356" s="104">
        <f>SUM(F356/H356)</f>
        <v/>
      </c>
      <c r="J356" s="105">
        <f>SUM(4*I356)</f>
        <v/>
      </c>
      <c r="K356" s="100">
        <f>SUM(I356*1.5)</f>
        <v/>
      </c>
      <c r="L356" s="101">
        <f>SUM(K356*4)</f>
        <v/>
      </c>
      <c r="M356" s="102">
        <f>SUM(I356*2)</f>
        <v/>
      </c>
      <c r="N356" s="103">
        <f>SUM(M356*4)</f>
        <v/>
      </c>
    </row>
    <row r="357" ht="15.75" customHeight="1">
      <c r="A357" s="35" t="n">
        <v>316</v>
      </c>
      <c r="B357" s="49">
        <f>IF(OR(ISNUMBER(SEARCH("Tequila", C357)), ISNUMBER(SEARCH("Tequila", D357))), "Tequila",
IF(OR(ISNUMBER(SEARCH("Rum", C357)), ISNUMBER(SEARCH("Rum", D357))), "Rum",
IF(OR(ISNUMBER(SEARCH("Whiskey", C357)), ISNUMBER(SEARCH("Whiskey", D357))), "Whiskey",
IF(OR(ISNUMBER(SEARCH("Gin", C357)), ISNUMBER(SEARCH("Gin", D357))), "Gin",
IF(OR(ISNUMBER(SEARCH("Liqueur", C357)), ISNUMBER(SEARCH("Liqueur", D357))), "Liqueur", "")))))</f>
        <v/>
      </c>
      <c r="C357" s="52" t="n"/>
      <c r="D357" s="51" t="n"/>
      <c r="E357" s="52" t="n"/>
      <c r="F357" s="51" t="n"/>
      <c r="G357" s="53" t="n"/>
      <c r="H357" s="54" t="n"/>
      <c r="I357" s="104" t="n"/>
      <c r="J357" s="105" t="n"/>
      <c r="K357" s="100" t="n"/>
      <c r="L357" s="101" t="n"/>
      <c r="M357" s="102" t="n"/>
      <c r="N357" s="103" t="n"/>
    </row>
    <row r="358" ht="15.75" customHeight="1">
      <c r="A358" s="35" t="n">
        <v>315</v>
      </c>
      <c r="B358" s="49">
        <f>IF(OR(ISNUMBER(SEARCH("Tequila", C358)), ISNUMBER(SEARCH("Tequila", D358))), "Tequila",
IF(OR(ISNUMBER(SEARCH("Rum", C358)), ISNUMBER(SEARCH("Rum", D358))), "Rum",
IF(OR(ISNUMBER(SEARCH("Whiskey", C358)), ISNUMBER(SEARCH("Whiskey", D358))), "Whiskey",
IF(OR(ISNUMBER(SEARCH("Gin", C358)), ISNUMBER(SEARCH("Gin", D358))), "Gin",
IF(OR(ISNUMBER(SEARCH("Liqueur", C358)), ISNUMBER(SEARCH("Liqueur", D358))), "Liqueur", "")))))</f>
        <v/>
      </c>
      <c r="C358" s="52" t="n"/>
      <c r="D358" s="51" t="n"/>
      <c r="E358" s="52" t="n"/>
      <c r="F358" s="51" t="n"/>
      <c r="G358" s="53" t="n"/>
      <c r="H358" s="54" t="n"/>
      <c r="I358" s="104" t="n"/>
      <c r="J358" s="105" t="n"/>
      <c r="K358" s="100" t="n"/>
      <c r="L358" s="101" t="n"/>
      <c r="M358" s="102" t="n"/>
      <c r="N358" s="103" t="n"/>
    </row>
    <row r="359" ht="15.75" customHeight="1">
      <c r="A359" s="35" t="n">
        <v>177</v>
      </c>
      <c r="B359" s="49">
        <f>IF(OR(ISNUMBER(SEARCH("Tequila", C359)), ISNUMBER(SEARCH("Tequila", D359))), "Tequila",
IF(OR(ISNUMBER(SEARCH("Rum", C359)), ISNUMBER(SEARCH("Rum", D359))), "Rum",
IF(OR(ISNUMBER(SEARCH("Whiskey", C359)), ISNUMBER(SEARCH("Whiskey", D359))), "Whiskey",
IF(OR(ISNUMBER(SEARCH("Gin", C359)), ISNUMBER(SEARCH("Gin", D359))), "Gin",
IF(OR(ISNUMBER(SEARCH("Liqueur", C359)), ISNUMBER(SEARCH("Liqueur", D359))), "Liqueur", "")))))</f>
        <v/>
      </c>
      <c r="C359" s="52" t="n"/>
      <c r="D359" s="51" t="inlineStr">
        <is>
          <t>Tears of Llorona Extra Anejo Tequila (1L/item) - $245.13 1</t>
        </is>
      </c>
      <c r="E359" s="52" t="n">
        <v>1000</v>
      </c>
      <c r="F359" s="51">
        <f>TRIM(MID(D359, FIND("$", D359), FIND(" ", D359, FIND("$", D359)) - FIND("$", D359))
)</f>
        <v/>
      </c>
      <c r="G359" s="53" t="n">
        <v>29.57</v>
      </c>
      <c r="H359" s="54">
        <f>SUM(E359/G359)</f>
        <v/>
      </c>
      <c r="I359" s="104">
        <f>SUM(F359/H359)</f>
        <v/>
      </c>
      <c r="J359" s="105">
        <f>SUM(4*I359)</f>
        <v/>
      </c>
      <c r="K359" s="100">
        <f>SUM(I359*1.5)</f>
        <v/>
      </c>
      <c r="L359" s="101">
        <f>SUM(K359*4)</f>
        <v/>
      </c>
      <c r="M359" s="102">
        <f>SUM(I359*2)</f>
        <v/>
      </c>
      <c r="N359" s="103">
        <f>SUM(M359*4)</f>
        <v/>
      </c>
    </row>
    <row r="360" ht="15.75" customHeight="1">
      <c r="A360" s="35" t="n">
        <v>24</v>
      </c>
      <c r="B360" s="49">
        <f>IF(OR(ISNUMBER(SEARCH("Tequila", C360)), ISNUMBER(SEARCH("Tequila", D360))), "Tequila",
IF(OR(ISNUMBER(SEARCH("Rum", C360)), ISNUMBER(SEARCH("Rum", D360))), "Rum",
IF(OR(ISNUMBER(SEARCH("Whiskey", C360)), ISNUMBER(SEARCH("Whiskey", D360))), "Whiskey",
IF(OR(ISNUMBER(SEARCH("Gin", C360)), ISNUMBER(SEARCH("Gin", D360))), "Gin",
IF(OR(ISNUMBER(SEARCH("Liqueur", C360)), ISNUMBER(SEARCH("Liqueur", D360))), "Liqueur", "")))))</f>
        <v/>
      </c>
      <c r="C360" s="52" t="n"/>
      <c r="D360" s="51" t="inlineStr">
        <is>
          <t>Tempus Fugit Gran Classico Bitter Liqueur (750mL / item) $32.87 2</t>
        </is>
      </c>
      <c r="E360" s="52" t="n">
        <v>750</v>
      </c>
      <c r="F360" s="51">
        <f>TRIM(MID(D360, FIND("$", D360), FIND(" ", D360, FIND("$", D360)) - FIND("$", D360))
)</f>
        <v/>
      </c>
      <c r="G360" s="53" t="n">
        <v>29.57</v>
      </c>
      <c r="H360" s="54">
        <f>SUM(E360/G360)</f>
        <v/>
      </c>
      <c r="I360" s="104">
        <f>SUM(F360/H360)</f>
        <v/>
      </c>
      <c r="J360" s="105">
        <f>SUM(4*I360)</f>
        <v/>
      </c>
      <c r="K360" s="100">
        <f>SUM(I360*1.5)</f>
        <v/>
      </c>
      <c r="L360" s="101">
        <f>SUM(K360*4)</f>
        <v/>
      </c>
      <c r="M360" s="102">
        <f>SUM(I360*2)</f>
        <v/>
      </c>
      <c r="N360" s="103">
        <f>SUM(M360*4)</f>
        <v/>
      </c>
    </row>
    <row r="361" ht="15.75" customHeight="1">
      <c r="A361" s="35" t="n">
        <v>23</v>
      </c>
      <c r="B361" s="49">
        <f>IF(OR(ISNUMBER(SEARCH("Tequila", C361)), ISNUMBER(SEARCH("Tequila", D361))), "Tequila",
IF(OR(ISNUMBER(SEARCH("Rum", C361)), ISNUMBER(SEARCH("Rum", D361))), "Rum",
IF(OR(ISNUMBER(SEARCH("Whiskey", C361)), ISNUMBER(SEARCH("Whiskey", D361))), "Whiskey",
IF(OR(ISNUMBER(SEARCH("Gin", C361)), ISNUMBER(SEARCH("Gin", D361))), "Gin",
IF(OR(ISNUMBER(SEARCH("Liqueur", C361)), ISNUMBER(SEARCH("Liqueur", D361))), "Liqueur", "")))))</f>
        <v/>
      </c>
      <c r="C361" s="52" t="n"/>
      <c r="D361" s="51" t="inlineStr">
        <is>
          <t>Tempus Fugit Liqueur de Violettes (750mL / item) $25.57 2</t>
        </is>
      </c>
      <c r="E361" s="52" t="n">
        <v>750</v>
      </c>
      <c r="F361" s="51">
        <f>TRIM(MID(D361, FIND("$", D361), FIND(" ", D361, FIND("$", D361)) - FIND("$", D361))
)</f>
        <v/>
      </c>
      <c r="G361" s="53" t="n">
        <v>29.57</v>
      </c>
      <c r="H361" s="54">
        <f>SUM(E361/G361)</f>
        <v/>
      </c>
      <c r="I361" s="104">
        <f>SUM(F361/H361)</f>
        <v/>
      </c>
      <c r="J361" s="105">
        <f>SUM(4*I361)</f>
        <v/>
      </c>
      <c r="K361" s="100">
        <f>SUM(I361*1.5)</f>
        <v/>
      </c>
      <c r="L361" s="101">
        <f>SUM(K361*4)</f>
        <v/>
      </c>
      <c r="M361" s="102">
        <f>SUM(I361*2)</f>
        <v/>
      </c>
      <c r="N361" s="103">
        <f>SUM(M361*4)</f>
        <v/>
      </c>
    </row>
    <row r="362" ht="15.75" customHeight="1">
      <c r="A362" s="35" t="n">
        <v>40</v>
      </c>
      <c r="B362" s="49">
        <f>IF(OR(ISNUMBER(SEARCH("Tequila", C362)), ISNUMBER(SEARCH("Tequila", D362))), "Tequila",
IF(OR(ISNUMBER(SEARCH("Rum", C362)), ISNUMBER(SEARCH("Rum", D362))), "Rum",
IF(OR(ISNUMBER(SEARCH("Whiskey", C362)), ISNUMBER(SEARCH("Whiskey", D362))), "Whiskey",
IF(OR(ISNUMBER(SEARCH("Gin", C362)), ISNUMBER(SEARCH("Gin", D362))), "Gin",
IF(OR(ISNUMBER(SEARCH("Liqueur", C362)), ISNUMBER(SEARCH("Liqueur", D362))), "Liqueur", "")))))</f>
        <v/>
      </c>
      <c r="C362" s="58" t="n"/>
      <c r="D362" s="51" t="inlineStr">
        <is>
          <t>Tequila Ocho Plata Tequila *NFD** (750mL / item) $38.85 3</t>
        </is>
      </c>
      <c r="E362" s="52" t="n">
        <v>750</v>
      </c>
      <c r="F362" s="51">
        <f>TRIM(MID(D362, FIND("$", D362), FIND(" ", D362, FIND("$", D362)) - FIND("$", D362))
)</f>
        <v/>
      </c>
      <c r="G362" s="53" t="n">
        <v>29.57</v>
      </c>
      <c r="H362" s="54">
        <f>SUM(E362/G362)</f>
        <v/>
      </c>
      <c r="I362" s="104">
        <f>SUM(F362/H362)</f>
        <v/>
      </c>
      <c r="J362" s="105">
        <f>SUM(4*I362)</f>
        <v/>
      </c>
      <c r="K362" s="100">
        <f>SUM(I362*1.5)</f>
        <v/>
      </c>
      <c r="L362" s="101">
        <f>SUM(K362*4)</f>
        <v/>
      </c>
      <c r="M362" s="102">
        <f>SUM(I362*2)</f>
        <v/>
      </c>
      <c r="N362" s="103">
        <f>SUM(M362*4)</f>
        <v/>
      </c>
    </row>
    <row r="363" ht="15.75" customHeight="1">
      <c r="A363" s="35" t="n">
        <v>39</v>
      </c>
      <c r="B363" s="49">
        <f>IF(OR(ISNUMBER(SEARCH("Tequila", C363)), ISNUMBER(SEARCH("Tequila", D363))), "Tequila",
IF(OR(ISNUMBER(SEARCH("Rum", C363)), ISNUMBER(SEARCH("Rum", D363))), "Rum",
IF(OR(ISNUMBER(SEARCH("Whiskey", C363)), ISNUMBER(SEARCH("Whiskey", D363))), "Whiskey",
IF(OR(ISNUMBER(SEARCH("Gin", C363)), ISNUMBER(SEARCH("Gin", D363))), "Gin",
IF(OR(ISNUMBER(SEARCH("Liqueur", C363)), ISNUMBER(SEARCH("Liqueur", D363))), "Liqueur", "")))))</f>
        <v/>
      </c>
      <c r="C363" s="52" t="n"/>
      <c r="D363" s="51" t="inlineStr">
        <is>
          <t>Tequila Ocho Reposado Tequila NFD (750mL /item) $47.25 3</t>
        </is>
      </c>
      <c r="E363" s="52" t="n">
        <v>750</v>
      </c>
      <c r="F363" s="51">
        <f>TRIM(MID(D363, FIND("$", D363), FIND(" ", D363, FIND("$", D363)) - FIND("$", D363))
)</f>
        <v/>
      </c>
      <c r="G363" s="53" t="n">
        <v>29.57</v>
      </c>
      <c r="H363" s="54">
        <f>SUM(E363/G363)</f>
        <v/>
      </c>
      <c r="I363" s="104">
        <f>SUM(F363/H363)</f>
        <v/>
      </c>
      <c r="J363" s="105">
        <f>SUM(4*I363)</f>
        <v/>
      </c>
      <c r="K363" s="100">
        <f>SUM(I363*1.5)</f>
        <v/>
      </c>
      <c r="L363" s="101">
        <f>SUM(K363*4)</f>
        <v/>
      </c>
      <c r="M363" s="102">
        <f>SUM(I363*2)</f>
        <v/>
      </c>
      <c r="N363" s="103">
        <f>SUM(M363*4)</f>
        <v/>
      </c>
    </row>
    <row r="364" ht="15.75" customHeight="1">
      <c r="A364" s="35" t="n">
        <v>236</v>
      </c>
      <c r="B364" s="49">
        <f>IF(OR(ISNUMBER(SEARCH("Tequila", C364)), ISNUMBER(SEARCH("Tequila", D364))), "Tequila",
IF(OR(ISNUMBER(SEARCH("Rum", C364)), ISNUMBER(SEARCH("Rum", D364))), "Rum",
IF(OR(ISNUMBER(SEARCH("Whiskey", C364)), ISNUMBER(SEARCH("Whiskey", D364))), "Whiskey",
IF(OR(ISNUMBER(SEARCH("Gin", C364)), ISNUMBER(SEARCH("Gin", D364))), "Gin",
IF(OR(ISNUMBER(SEARCH("Liqueur", C364)), ISNUMBER(SEARCH("Liqueur", D364))), "Liqueur", "")))))</f>
        <v/>
      </c>
      <c r="C364" s="52" t="n"/>
      <c r="D364" s="51" t="inlineStr">
        <is>
          <t>Tequila Ocho Widow Jane Finish Reposado Tequila (750mL/item) - [Price Missing] 2</t>
        </is>
      </c>
      <c r="E364" s="52" t="n">
        <v>750</v>
      </c>
      <c r="F364" s="51">
        <f>TRIM(MID(D364, FIND("$", D364), FIND(" ", D364, FIND("$", D364)) - FIND("$", D364))
)</f>
        <v/>
      </c>
      <c r="G364" s="53" t="n">
        <v>29.57</v>
      </c>
      <c r="H364" s="54">
        <f>SUM(E364/G364)</f>
        <v/>
      </c>
      <c r="I364" s="104">
        <f>SUM(F364/H364)</f>
        <v/>
      </c>
      <c r="J364" s="105">
        <f>SUM(4*I364)</f>
        <v/>
      </c>
      <c r="K364" s="100">
        <f>SUM(I364*1.5)</f>
        <v/>
      </c>
      <c r="L364" s="101">
        <f>SUM(K364*4)</f>
        <v/>
      </c>
      <c r="M364" s="102">
        <f>SUM(I364*2)</f>
        <v/>
      </c>
      <c r="N364" s="103">
        <f>SUM(M364*4)</f>
        <v/>
      </c>
    </row>
    <row r="365" ht="15.75" customHeight="1">
      <c r="A365" s="35" t="n">
        <v>178</v>
      </c>
      <c r="B365" s="49">
        <f>IF(OR(ISNUMBER(SEARCH("Tequila", C365)), ISNUMBER(SEARCH("Tequila", D365))), "Tequila",
IF(OR(ISNUMBER(SEARCH("Rum", C365)), ISNUMBER(SEARCH("Rum", D365))), "Rum",
IF(OR(ISNUMBER(SEARCH("Whiskey", C365)), ISNUMBER(SEARCH("Whiskey", D365))), "Whiskey",
IF(OR(ISNUMBER(SEARCH("Gin", C365)), ISNUMBER(SEARCH("Gin", D365))), "Gin",
IF(OR(ISNUMBER(SEARCH("Liqueur", C365)), ISNUMBER(SEARCH("Liqueur", D365))), "Liqueur", "")))))</f>
        <v/>
      </c>
      <c r="C365" s="52" t="n"/>
      <c r="D365" s="51" t="inlineStr">
        <is>
          <t>Tequila Partida Blanco Tequila (750mL/item) - $35.30 1</t>
        </is>
      </c>
      <c r="E365" s="52" t="n">
        <v>750</v>
      </c>
      <c r="F365" s="51">
        <f>TRIM(MID(D365, FIND("$", D365), FIND(" ", D365, FIND("$", D365)) - FIND("$", D365))
)</f>
        <v/>
      </c>
      <c r="G365" s="53" t="n">
        <v>29.57</v>
      </c>
      <c r="H365" s="54">
        <f>SUM(E365/G365)</f>
        <v/>
      </c>
      <c r="I365" s="104">
        <f>SUM(F365/H365)</f>
        <v/>
      </c>
      <c r="J365" s="105">
        <f>SUM(4*I365)</f>
        <v/>
      </c>
      <c r="K365" s="100">
        <f>SUM(I365*1.5)</f>
        <v/>
      </c>
      <c r="L365" s="101">
        <f>SUM(K365*4)</f>
        <v/>
      </c>
      <c r="M365" s="102">
        <f>SUM(I365*2)</f>
        <v/>
      </c>
      <c r="N365" s="103">
        <f>SUM(M365*4)</f>
        <v/>
      </c>
    </row>
    <row r="366" ht="15.75" customHeight="1">
      <c r="A366" s="35" t="n">
        <v>179</v>
      </c>
      <c r="B366" s="49">
        <f>IF(OR(ISNUMBER(SEARCH("Tequila", C366)), ISNUMBER(SEARCH("Tequila", D366))), "Tequila",
IF(OR(ISNUMBER(SEARCH("Rum", C366)), ISNUMBER(SEARCH("Rum", D366))), "Rum",
IF(OR(ISNUMBER(SEARCH("Whiskey", C366)), ISNUMBER(SEARCH("Whiskey", D366))), "Whiskey",
IF(OR(ISNUMBER(SEARCH("Gin", C366)), ISNUMBER(SEARCH("Gin", D366))), "Gin",
IF(OR(ISNUMBER(SEARCH("Liqueur", C366)), ISNUMBER(SEARCH("Liqueur", D366))), "Liqueur", "")))))</f>
        <v/>
      </c>
      <c r="C366" s="52" t="n"/>
      <c r="D366" s="51" t="inlineStr">
        <is>
          <t>Tequila Partida Reposado Tequila (750mL/item) - $39.40 1</t>
        </is>
      </c>
      <c r="E366" s="52" t="n">
        <v>750</v>
      </c>
      <c r="F366" s="51">
        <f>TRIM(MID(D366, FIND("$", D366), FIND(" ", D366, FIND("$", D366)) - FIND("$", D366))
)</f>
        <v/>
      </c>
      <c r="G366" s="53" t="n">
        <v>29.57</v>
      </c>
      <c r="H366" s="54">
        <f>SUM(E366/G366)</f>
        <v/>
      </c>
      <c r="I366" s="104">
        <f>SUM(F366/H366)</f>
        <v/>
      </c>
      <c r="J366" s="105">
        <f>SUM(4*I366)</f>
        <v/>
      </c>
      <c r="K366" s="100">
        <f>SUM(I366*1.5)</f>
        <v/>
      </c>
      <c r="L366" s="101">
        <f>SUM(K366*4)</f>
        <v/>
      </c>
      <c r="M366" s="102">
        <f>SUM(I366*2)</f>
        <v/>
      </c>
      <c r="N366" s="103">
        <f>SUM(M366*4)</f>
        <v/>
      </c>
    </row>
    <row r="367" ht="15.75" customHeight="1">
      <c r="A367" s="35" t="n">
        <v>180</v>
      </c>
      <c r="B367" s="49">
        <f>IF(OR(ISNUMBER(SEARCH("Tequila", C367)), ISNUMBER(SEARCH("Tequila", D367))), "Tequila",
IF(OR(ISNUMBER(SEARCH("Rum", C367)), ISNUMBER(SEARCH("Rum", D367))), "Rum",
IF(OR(ISNUMBER(SEARCH("Whiskey", C367)), ISNUMBER(SEARCH("Whiskey", D367))), "Whiskey",
IF(OR(ISNUMBER(SEARCH("Gin", C367)), ISNUMBER(SEARCH("Gin", D367))), "Gin",
IF(OR(ISNUMBER(SEARCH("Liqueur", C367)), ISNUMBER(SEARCH("Liqueur", D367))), "Liqueur", "")))))</f>
        <v/>
      </c>
      <c r="C367" s="58" t="n"/>
      <c r="D367" s="51" t="inlineStr">
        <is>
          <t>Teremana Blanco Tequila (750mL/item) - $27.13 2</t>
        </is>
      </c>
      <c r="E367" s="52" t="n">
        <v>750</v>
      </c>
      <c r="F367" s="51">
        <f>TRIM(MID(D367, FIND("$", D367), FIND(" ", D367, FIND("$", D367)) - FIND("$", D367))
)</f>
        <v/>
      </c>
      <c r="G367" s="53" t="n">
        <v>29.57</v>
      </c>
      <c r="H367" s="54">
        <f>SUM(E367/G367)</f>
        <v/>
      </c>
      <c r="I367" s="104">
        <f>SUM(F367/H367)</f>
        <v/>
      </c>
      <c r="J367" s="105">
        <f>SUM(4*I367)</f>
        <v/>
      </c>
      <c r="K367" s="100">
        <f>SUM(I367*1.5)</f>
        <v/>
      </c>
      <c r="L367" s="101">
        <f>SUM(K367*4)</f>
        <v/>
      </c>
      <c r="M367" s="102">
        <f>SUM(I367*2)</f>
        <v/>
      </c>
      <c r="N367" s="103">
        <f>SUM(M367*4)</f>
        <v/>
      </c>
    </row>
    <row r="368" ht="15.75" customHeight="1">
      <c r="A368" s="35" t="n">
        <v>181</v>
      </c>
      <c r="B368" s="49">
        <f>IF(OR(ISNUMBER(SEARCH("Tequila", C368)), ISNUMBER(SEARCH("Tequila", D368))), "Tequila",
IF(OR(ISNUMBER(SEARCH("Rum", C368)), ISNUMBER(SEARCH("Rum", D368))), "Rum",
IF(OR(ISNUMBER(SEARCH("Whiskey", C368)), ISNUMBER(SEARCH("Whiskey", D368))), "Whiskey",
IF(OR(ISNUMBER(SEARCH("Gin", C368)), ISNUMBER(SEARCH("Gin", D368))), "Gin",
IF(OR(ISNUMBER(SEARCH("Liqueur", C368)), ISNUMBER(SEARCH("Liqueur", D368))), "Liqueur", "")))))</f>
        <v/>
      </c>
      <c r="C368" s="52" t="n"/>
      <c r="D368" s="51" t="inlineStr">
        <is>
          <t>Teremana Reposado Tequila (750ML/item) - $28.76 2</t>
        </is>
      </c>
      <c r="E368" s="52" t="n">
        <v>750</v>
      </c>
      <c r="F368" s="51">
        <f>TRIM(MID(D368, FIND("$", D368), FIND(" ", D368, FIND("$", D368)) - FIND("$", D368))
)</f>
        <v/>
      </c>
      <c r="G368" s="53" t="n">
        <v>29.57</v>
      </c>
      <c r="H368" s="54">
        <f>SUM(E368/G368)</f>
        <v/>
      </c>
      <c r="I368" s="104">
        <f>SUM(F368/H368)</f>
        <v/>
      </c>
      <c r="J368" s="105">
        <f>SUM(4*I368)</f>
        <v/>
      </c>
      <c r="K368" s="100">
        <f>SUM(I368*1.5)</f>
        <v/>
      </c>
      <c r="L368" s="101">
        <f>SUM(K368*4)</f>
        <v/>
      </c>
      <c r="M368" s="102">
        <f>SUM(I368*2)</f>
        <v/>
      </c>
      <c r="N368" s="103">
        <f>SUM(M368*4)</f>
        <v/>
      </c>
    </row>
    <row r="369" ht="15.75" customHeight="1">
      <c r="A369" s="35" t="n">
        <v>283</v>
      </c>
      <c r="B369" s="49">
        <f>IF(OR(ISNUMBER(SEARCH("Tequila", C369)), ISNUMBER(SEARCH("Tequila", D369))), "Tequila",
IF(OR(ISNUMBER(SEARCH("Rum", C369)), ISNUMBER(SEARCH("Rum", D369))), "Rum",
IF(OR(ISNUMBER(SEARCH("Whiskey", C369)), ISNUMBER(SEARCH("Whiskey", D369))), "Whiskey",
IF(OR(ISNUMBER(SEARCH("Gin", C369)), ISNUMBER(SEARCH("Gin", D369))), "Gin",
IF(OR(ISNUMBER(SEARCH("Liqueur", C369)), ISNUMBER(SEARCH("Liqueur", D369))), "Liqueur", "")))))</f>
        <v/>
      </c>
      <c r="C369" s="52" t="n"/>
      <c r="D369" s="51" t="n"/>
      <c r="E369" s="52" t="n"/>
      <c r="F369" s="51" t="n"/>
      <c r="G369" s="53" t="n"/>
      <c r="H369" s="54" t="n"/>
      <c r="I369" s="104" t="n"/>
      <c r="J369" s="105" t="n"/>
      <c r="K369" s="100" t="n"/>
      <c r="L369" s="101" t="n"/>
      <c r="M369" s="102" t="n"/>
      <c r="N369" s="103" t="n"/>
    </row>
    <row r="370" ht="15.75" customHeight="1">
      <c r="A370" s="59" t="n"/>
      <c r="B370" s="49">
        <f>IF(OR(ISNUMBER(SEARCH("Tequila", C370)), ISNUMBER(SEARCH("Tequila", D370))), "Tequila",
IF(OR(ISNUMBER(SEARCH("Rum", C370)), ISNUMBER(SEARCH("Rum", D370))), "Rum",
IF(OR(ISNUMBER(SEARCH("Whiskey", C370)), ISNUMBER(SEARCH("Whiskey", D370))), "Whiskey",
IF(OR(ISNUMBER(SEARCH("Gin", C370)), ISNUMBER(SEARCH("Gin", D370))), "Gin",
IF(OR(ISNUMBER(SEARCH("Liqueur", C370)), ISNUMBER(SEARCH("Liqueur", D370))), "Liqueur", "")))))</f>
        <v/>
      </c>
      <c r="C370" s="52" t="n"/>
      <c r="D370" s="60" t="n"/>
      <c r="E370" s="52" t="n"/>
      <c r="F370" s="51" t="n"/>
      <c r="G370" s="53" t="n"/>
      <c r="H370" s="54" t="n"/>
      <c r="I370" s="104" t="n"/>
      <c r="J370" s="105" t="n"/>
      <c r="K370" s="100" t="n"/>
      <c r="L370" s="101" t="n"/>
      <c r="M370" s="102" t="n"/>
      <c r="N370" s="103" t="n"/>
    </row>
    <row r="371" ht="15.75" customHeight="1">
      <c r="A371" s="35" t="n">
        <v>222</v>
      </c>
      <c r="B371" s="49">
        <f>IF(OR(ISNUMBER(SEARCH("Tequila", C371)), ISNUMBER(SEARCH("Tequila", D371))), "Tequila",
IF(OR(ISNUMBER(SEARCH("Rum", C371)), ISNUMBER(SEARCH("Rum", D371))), "Rum",
IF(OR(ISNUMBER(SEARCH("Whiskey", C371)), ISNUMBER(SEARCH("Whiskey", D371))), "Whiskey",
IF(OR(ISNUMBER(SEARCH("Gin", C371)), ISNUMBER(SEARCH("Gin", D371))), "Gin",
IF(OR(ISNUMBER(SEARCH("Liqueur", C371)), ISNUMBER(SEARCH("Liqueur", D371))), "Liqueur", "")))))</f>
        <v/>
      </c>
      <c r="C371" s="52" t="n"/>
      <c r="D371" s="51" t="inlineStr">
        <is>
          <t>Tierra Noble Anejo Tequila (750mL/item) - $41.91 1</t>
        </is>
      </c>
      <c r="E371" s="52" t="n">
        <v>750</v>
      </c>
      <c r="F371" s="51">
        <f>TRIM(MID(D371, FIND("$", D371), FIND(" ", D371, FIND("$", D371)) - FIND("$", D371))
)</f>
        <v/>
      </c>
      <c r="G371" s="53" t="n">
        <v>29.57</v>
      </c>
      <c r="H371" s="54">
        <f>SUM(E371/G371)</f>
        <v/>
      </c>
      <c r="I371" s="104">
        <f>SUM(F371/H371)</f>
        <v/>
      </c>
      <c r="J371" s="105">
        <f>SUM(4*I371)</f>
        <v/>
      </c>
      <c r="K371" s="100">
        <f>SUM(I371*1.5)</f>
        <v/>
      </c>
      <c r="L371" s="101">
        <f>SUM(K371*4)</f>
        <v/>
      </c>
      <c r="M371" s="102">
        <f>SUM(I371*2)</f>
        <v/>
      </c>
      <c r="N371" s="103">
        <f>SUM(M371*4)</f>
        <v/>
      </c>
    </row>
    <row r="372" ht="15.75" customHeight="1">
      <c r="A372" s="35" t="n">
        <v>220</v>
      </c>
      <c r="B372" s="49">
        <f>IF(OR(ISNUMBER(SEARCH("Tequila", C372)), ISNUMBER(SEARCH("Tequila", D372))), "Tequila",
IF(OR(ISNUMBER(SEARCH("Rum", C372)), ISNUMBER(SEARCH("Rum", D372))), "Rum",
IF(OR(ISNUMBER(SEARCH("Whiskey", C372)), ISNUMBER(SEARCH("Whiskey", D372))), "Whiskey",
IF(OR(ISNUMBER(SEARCH("Gin", C372)), ISNUMBER(SEARCH("Gin", D372))), "Gin",
IF(OR(ISNUMBER(SEARCH("Liqueur", C372)), ISNUMBER(SEARCH("Liqueur", D372))), "Liqueur", "")))))</f>
        <v/>
      </c>
      <c r="C372" s="58" t="n"/>
      <c r="D372" s="51" t="inlineStr">
        <is>
          <t>Tierra Noble Blanco Tequila (750mL/item) - $25.56 1</t>
        </is>
      </c>
      <c r="E372" s="52" t="n">
        <v>750</v>
      </c>
      <c r="F372" s="51">
        <f>TRIM(MID(D372, FIND("$", D372), FIND(" ", D372, FIND("$", D372)) - FIND("$", D372))
)</f>
        <v/>
      </c>
      <c r="G372" s="53" t="n">
        <v>29.57</v>
      </c>
      <c r="H372" s="54">
        <f>SUM(E372/G372)</f>
        <v/>
      </c>
      <c r="I372" s="104">
        <f>SUM(F372/H372)</f>
        <v/>
      </c>
      <c r="J372" s="105">
        <f>SUM(4*I372)</f>
        <v/>
      </c>
      <c r="K372" s="100">
        <f>SUM(I372*1.5)</f>
        <v/>
      </c>
      <c r="L372" s="101">
        <f>SUM(K372*4)</f>
        <v/>
      </c>
      <c r="M372" s="102">
        <f>SUM(I372*2)</f>
        <v/>
      </c>
      <c r="N372" s="103">
        <f>SUM(M372*4)</f>
        <v/>
      </c>
    </row>
    <row r="373" ht="15.75" customHeight="1">
      <c r="A373" s="35" t="n">
        <v>223</v>
      </c>
      <c r="B373" s="49">
        <f>IF(OR(ISNUMBER(SEARCH("Tequila", C373)), ISNUMBER(SEARCH("Tequila", D373))), "Tequila",
IF(OR(ISNUMBER(SEARCH("Rum", C373)), ISNUMBER(SEARCH("Rum", D373))), "Rum",
IF(OR(ISNUMBER(SEARCH("Whiskey", C373)), ISNUMBER(SEARCH("Whiskey", D373))), "Whiskey",
IF(OR(ISNUMBER(SEARCH("Gin", C373)), ISNUMBER(SEARCH("Gin", D373))), "Gin",
IF(OR(ISNUMBER(SEARCH("Liqueur", C373)), ISNUMBER(SEARCH("Liqueur", D373))), "Liqueur", "")))))</f>
        <v/>
      </c>
      <c r="C373" s="52" t="n"/>
      <c r="D373" s="51" t="inlineStr">
        <is>
          <t>Tierra Noble Cristalino Tequila (750mL/item) - $41.91 1</t>
        </is>
      </c>
      <c r="E373" s="52" t="n">
        <v>750</v>
      </c>
      <c r="F373" s="51">
        <f>TRIM(MID(D373, FIND("$", D373), FIND(" ", D373, FIND("$", D373)) - FIND("$", D373))
)</f>
        <v/>
      </c>
      <c r="G373" s="53" t="n">
        <v>29.57</v>
      </c>
      <c r="H373" s="54">
        <f>SUM(E373/G373)</f>
        <v/>
      </c>
      <c r="I373" s="104">
        <f>SUM(F373/H373)</f>
        <v/>
      </c>
      <c r="J373" s="105">
        <f>SUM(4*I373)</f>
        <v/>
      </c>
      <c r="K373" s="100">
        <f>SUM(I373*1.5)</f>
        <v/>
      </c>
      <c r="L373" s="101">
        <f>SUM(K373*4)</f>
        <v/>
      </c>
      <c r="M373" s="102">
        <f>SUM(I373*2)</f>
        <v/>
      </c>
      <c r="N373" s="103">
        <f>SUM(M373*4)</f>
        <v/>
      </c>
    </row>
    <row r="374" ht="15.75" customHeight="1">
      <c r="A374" s="35" t="n">
        <v>294</v>
      </c>
      <c r="B374" s="49">
        <f>IF(OR(ISNUMBER(SEARCH("Tequila", C374)), ISNUMBER(SEARCH("Tequila", D374))), "Tequila",
IF(OR(ISNUMBER(SEARCH("Rum", C374)), ISNUMBER(SEARCH("Rum", D374))), "Rum",
IF(OR(ISNUMBER(SEARCH("Whiskey", C374)), ISNUMBER(SEARCH("Whiskey", D374))), "Whiskey",
IF(OR(ISNUMBER(SEARCH("Gin", C374)), ISNUMBER(SEARCH("Gin", D374))), "Gin",
IF(OR(ISNUMBER(SEARCH("Liqueur", C374)), ISNUMBER(SEARCH("Liqueur", D374))), "Liqueur", "")))))</f>
        <v/>
      </c>
      <c r="C374" s="52" t="n"/>
      <c r="D374" s="51" t="inlineStr">
        <is>
          <t>Tierra Noble Extra Anejo Tequila (750ML/item) - $86.46 4</t>
        </is>
      </c>
      <c r="E374" s="52" t="n">
        <v>750</v>
      </c>
      <c r="F374" s="51">
        <f>TRIM(MID(D374, FIND("$", D374), FIND(" ", D374, FIND("$", D374)) - FIND("$", D374))
)</f>
        <v/>
      </c>
      <c r="G374" s="53" t="n">
        <v>29.57</v>
      </c>
      <c r="H374" s="54">
        <f>SUM(E374/G374)</f>
        <v/>
      </c>
      <c r="I374" s="104">
        <f>SUM(F374/H374)</f>
        <v/>
      </c>
      <c r="J374" s="105">
        <f>SUM(4*I374)</f>
        <v/>
      </c>
      <c r="K374" s="100">
        <f>SUM(I374*1.5)</f>
        <v/>
      </c>
      <c r="L374" s="101">
        <f>SUM(K374*4)</f>
        <v/>
      </c>
      <c r="M374" s="102">
        <f>SUM(I374*2)</f>
        <v/>
      </c>
      <c r="N374" s="103">
        <f>SUM(M374*4)</f>
        <v/>
      </c>
    </row>
    <row r="375" ht="15.75" customHeight="1">
      <c r="A375" s="35" t="n">
        <v>221</v>
      </c>
      <c r="B375" s="49">
        <f>IF(OR(ISNUMBER(SEARCH("Tequila", C375)), ISNUMBER(SEARCH("Tequila", D375))), "Tequila",
IF(OR(ISNUMBER(SEARCH("Rum", C375)), ISNUMBER(SEARCH("Rum", D375))), "Rum",
IF(OR(ISNUMBER(SEARCH("Whiskey", C375)), ISNUMBER(SEARCH("Whiskey", D375))), "Whiskey",
IF(OR(ISNUMBER(SEARCH("Gin", C375)), ISNUMBER(SEARCH("Gin", D375))), "Gin",
IF(OR(ISNUMBER(SEARCH("Liqueur", C375)), ISNUMBER(SEARCH("Liqueur", D375))), "Liqueur", "")))))</f>
        <v/>
      </c>
      <c r="C375" s="52" t="n"/>
      <c r="D375" s="51" t="inlineStr">
        <is>
          <t>Tierra Noble Reposado Tequila (750mL/item) - $33.74 1</t>
        </is>
      </c>
      <c r="E375" s="52" t="n">
        <v>750</v>
      </c>
      <c r="F375" s="51">
        <f>TRIM(MID(D375, FIND("$", D375), FIND(" ", D375, FIND("$", D375)) - FIND("$", D375))
)</f>
        <v/>
      </c>
      <c r="G375" s="53" t="n">
        <v>29.57</v>
      </c>
      <c r="H375" s="54">
        <f>SUM(E375/G375)</f>
        <v/>
      </c>
      <c r="I375" s="104">
        <f>SUM(F375/H375)</f>
        <v/>
      </c>
      <c r="J375" s="105">
        <f>SUM(4*I375)</f>
        <v/>
      </c>
      <c r="K375" s="100">
        <f>SUM(I375*1.5)</f>
        <v/>
      </c>
      <c r="L375" s="101">
        <f>SUM(K375*4)</f>
        <v/>
      </c>
      <c r="M375" s="102">
        <f>SUM(I375*2)</f>
        <v/>
      </c>
      <c r="N375" s="103">
        <f>SUM(M375*4)</f>
        <v/>
      </c>
    </row>
    <row r="376" ht="15.75" customHeight="1">
      <c r="A376" s="35" t="n">
        <v>10</v>
      </c>
      <c r="B376" s="49" t="inlineStr">
        <is>
          <t>tequila</t>
        </is>
      </c>
      <c r="C376" s="52" t="n"/>
      <c r="D376" s="51" t="inlineStr">
        <is>
          <t>Tita Dona Celia Anejo Tequila (750mL/item) $75.63 6</t>
        </is>
      </c>
      <c r="E376" s="52" t="n">
        <v>750</v>
      </c>
      <c r="F376" s="51">
        <f>TRIM(MID(D376, FIND("$", D376), FIND(" ", D376, FIND("$", D376)) - FIND("$", D376))
)</f>
        <v/>
      </c>
      <c r="G376" s="53" t="n">
        <v>29.57</v>
      </c>
      <c r="H376" s="54">
        <f>SUM(E376/G376)</f>
        <v/>
      </c>
      <c r="I376" s="104">
        <f>SUM(F376/H376)</f>
        <v/>
      </c>
      <c r="J376" s="105">
        <f>SUM(4*I376)</f>
        <v/>
      </c>
      <c r="K376" s="100">
        <f>SUM(I376*1.5)</f>
        <v/>
      </c>
      <c r="L376" s="101">
        <f>SUM(K376*4)</f>
        <v/>
      </c>
      <c r="M376" s="102">
        <f>SUM(I376*2)</f>
        <v/>
      </c>
      <c r="N376" s="103">
        <f>SUM(M376*4)</f>
        <v/>
      </c>
    </row>
    <row r="377" ht="15.75" customHeight="1">
      <c r="A377" s="35" t="n">
        <v>11</v>
      </c>
      <c r="B377" s="49" t="inlineStr">
        <is>
          <t>tequila</t>
        </is>
      </c>
      <c r="C377" s="58" t="n"/>
      <c r="D377" s="51" t="inlineStr">
        <is>
          <t>Tita Dona Celia Blanco Tequila (750mL / item) $55.21 6</t>
        </is>
      </c>
      <c r="E377" s="52" t="n">
        <v>750</v>
      </c>
      <c r="F377" s="51">
        <f>TRIM(MID(D377, FIND("$", D377), FIND(" ", D377, FIND("$", D377)) - FIND("$", D377))
)</f>
        <v/>
      </c>
      <c r="G377" s="53" t="n">
        <v>29.57</v>
      </c>
      <c r="H377" s="54">
        <f>SUM(E377/G377)</f>
        <v/>
      </c>
      <c r="I377" s="104">
        <f>SUM(F377/H377)</f>
        <v/>
      </c>
      <c r="J377" s="105">
        <f>SUM(4*I377)</f>
        <v/>
      </c>
      <c r="K377" s="100">
        <f>SUM(I377*1.5)</f>
        <v/>
      </c>
      <c r="L377" s="101">
        <f>SUM(K377*4)</f>
        <v/>
      </c>
      <c r="M377" s="102">
        <f>SUM(I377*2)</f>
        <v/>
      </c>
      <c r="N377" s="103">
        <f>SUM(M377*4)</f>
        <v/>
      </c>
    </row>
    <row r="378" ht="15.75" customHeight="1">
      <c r="A378" s="35" t="n">
        <v>12</v>
      </c>
      <c r="B378" s="49" t="inlineStr">
        <is>
          <t>tequila</t>
        </is>
      </c>
      <c r="C378" s="52" t="n"/>
      <c r="D378" s="51" t="inlineStr">
        <is>
          <t>Tita Dona Celia Reposado Tequila (750mL / item) $61.74 6</t>
        </is>
      </c>
      <c r="E378" s="52" t="n">
        <v>750</v>
      </c>
      <c r="F378" s="51">
        <f>TRIM(MID(D378, FIND("$", D378), FIND(" ", D378, FIND("$", D378)) - FIND("$", D378))
)</f>
        <v/>
      </c>
      <c r="G378" s="53" t="n">
        <v>29.57</v>
      </c>
      <c r="H378" s="54">
        <f>SUM(E378/G378)</f>
        <v/>
      </c>
      <c r="I378" s="104">
        <f>SUM(F378/H378)</f>
        <v/>
      </c>
      <c r="J378" s="105">
        <f>SUM(4*I378)</f>
        <v/>
      </c>
      <c r="K378" s="100">
        <f>SUM(I378*1.5)</f>
        <v/>
      </c>
      <c r="L378" s="101">
        <f>SUM(K378*4)</f>
        <v/>
      </c>
      <c r="M378" s="102">
        <f>SUM(I378*2)</f>
        <v/>
      </c>
      <c r="N378" s="103">
        <f>SUM(M378*4)</f>
        <v/>
      </c>
    </row>
    <row r="379" ht="15.75" customHeight="1">
      <c r="A379" s="35" t="n">
        <v>182</v>
      </c>
      <c r="B379" s="49">
        <f>IF(OR(ISNUMBER(SEARCH("Tequila", C379)), ISNUMBER(SEARCH("Tequila", D379))), "Tequila",
 IF(OR(ISNUMBER(SEARCH("Rum", C379)), ISNUMBER(SEARCH("Rum", D379))), "Rum",
 IF(OR(ISNUMBER(SEARCH("Whiskey", C379)), ISNUMBER(SEARCH("Whiskey", D379))), "Whiskey",
 IF(OR(ISNUMBER(SEARCH("Gin", C379)), ISNUMBER(SEARCH("Gin", D379))), "Gin",
 IF(OR(ISNUMBER(SEARCH("Liqueur", C379)), ISNUMBER(SEARCH("Liqueur", D379))), "Liqueur", "")))))</f>
        <v/>
      </c>
      <c r="C379" s="52" t="n"/>
      <c r="D379" s="51" t="inlineStr">
        <is>
          <t>Tres Agave Anejo Tequila (750mL/item) - $39.40 1</t>
        </is>
      </c>
      <c r="E379" s="52" t="n">
        <v>750</v>
      </c>
      <c r="F379" s="51">
        <f>TRIM(MID(D379, FIND("$", D379), FIND(" ", D379, FIND("$", D379)) - FIND("$", D379))
)</f>
        <v/>
      </c>
      <c r="G379" s="53" t="n">
        <v>29.57</v>
      </c>
      <c r="H379" s="54">
        <f>SUM(E379/G379)</f>
        <v/>
      </c>
      <c r="I379" s="104">
        <f>SUM(F379/H379)</f>
        <v/>
      </c>
      <c r="J379" s="105">
        <f>SUM(4*I379)</f>
        <v/>
      </c>
      <c r="K379" s="100">
        <f>SUM(I379*1.5)</f>
        <v/>
      </c>
      <c r="L379" s="101">
        <f>SUM(K379*4)</f>
        <v/>
      </c>
      <c r="M379" s="102">
        <f>SUM(I379*2)</f>
        <v/>
      </c>
      <c r="N379" s="103">
        <f>SUM(M379*4)</f>
        <v/>
      </c>
    </row>
    <row r="380" ht="15.75" customHeight="1">
      <c r="A380" s="35" t="n">
        <v>183</v>
      </c>
      <c r="B380" s="49">
        <f>IF(OR(ISNUMBER(SEARCH("Tequila", C380)), ISNUMBER(SEARCH("Tequila", D380))), "Tequila",
IF(OR(ISNUMBER(SEARCH("Rum", C380)), ISNUMBER(SEARCH("Rum", D380))), "Rum",
IF(OR(ISNUMBER(SEARCH("Whiskey", C380)), ISNUMBER(SEARCH("Whiskey", D380))), "Whiskey",
IF(OR(ISNUMBER(SEARCH("Gin", C380)), ISNUMBER(SEARCH("Gin", D380))), "Gin",
IF(OR(ISNUMBER(SEARCH("Liqueur", C380)), ISNUMBER(SEARCH("Liqueur", D380))), "Liqueur", "")))))</f>
        <v/>
      </c>
      <c r="C380" s="58" t="n"/>
      <c r="D380" s="51" t="inlineStr">
        <is>
          <t>Tres Agave Blanco Tequila (750mL/item) - $31.23 1</t>
        </is>
      </c>
      <c r="E380" s="52" t="n">
        <v>750</v>
      </c>
      <c r="F380" s="51">
        <f>TRIM(MID(D380, FIND("$", D380), FIND(" ", D380, FIND("$", D380)) - FIND("$", D380))
)</f>
        <v/>
      </c>
      <c r="G380" s="53" t="n">
        <v>29.57</v>
      </c>
      <c r="H380" s="54">
        <f>SUM(E380/G380)</f>
        <v/>
      </c>
      <c r="I380" s="104">
        <f>SUM(F380/H380)</f>
        <v/>
      </c>
      <c r="J380" s="105">
        <f>SUM(4*I380)</f>
        <v/>
      </c>
      <c r="K380" s="100">
        <f>SUM(I380*1.5)</f>
        <v/>
      </c>
      <c r="L380" s="101">
        <f>SUM(K380*4)</f>
        <v/>
      </c>
      <c r="M380" s="102">
        <f>SUM(I380*2)</f>
        <v/>
      </c>
      <c r="N380" s="103">
        <f>SUM(M380*4)</f>
        <v/>
      </c>
    </row>
    <row r="381" ht="15.75" customHeight="1">
      <c r="A381" s="35" t="n">
        <v>184</v>
      </c>
      <c r="B381" s="49">
        <f>IF(OR(ISNUMBER(SEARCH("Tequila", C381)), ISNUMBER(SEARCH("Tequila", D381))), "Tequila",
IF(OR(ISNUMBER(SEARCH("Rum", C381)), ISNUMBER(SEARCH("Rum", D381))), "Rum",
IF(OR(ISNUMBER(SEARCH("Whiskey", C381)), ISNUMBER(SEARCH("Whiskey", D381))), "Whiskey",
IF(OR(ISNUMBER(SEARCH("Gin", C381)), ISNUMBER(SEARCH("Gin", D381))), "Gin",
IF(OR(ISNUMBER(SEARCH("Liqueur", C381)), ISNUMBER(SEARCH("Liqueur", D381))), "Liqueur", "")))))</f>
        <v/>
      </c>
      <c r="C381" s="52" t="n"/>
      <c r="D381" s="51" t="inlineStr">
        <is>
          <t>Tres Agave Reposado Tequila (750mL/item) - $35.31 1</t>
        </is>
      </c>
      <c r="E381" s="52" t="n">
        <v>750</v>
      </c>
      <c r="F381" s="51">
        <f>TRIM(MID(D381, FIND("$", D381), FIND(" ", D381, FIND("$", D381)) - FIND("$", D381))
)</f>
        <v/>
      </c>
      <c r="G381" s="53" t="n">
        <v>29.57</v>
      </c>
      <c r="H381" s="54">
        <f>SUM(E381/G381)</f>
        <v/>
      </c>
      <c r="I381" s="104">
        <f>SUM(F381/H381)</f>
        <v/>
      </c>
      <c r="J381" s="105">
        <f>SUM(4*I381)</f>
        <v/>
      </c>
      <c r="K381" s="100">
        <f>SUM(I381*1.5)</f>
        <v/>
      </c>
      <c r="L381" s="101">
        <f>SUM(K381*4)</f>
        <v/>
      </c>
      <c r="M381" s="102">
        <f>SUM(I381*2)</f>
        <v/>
      </c>
      <c r="N381" s="103">
        <f>SUM(M381*4)</f>
        <v/>
      </c>
    </row>
    <row r="382" ht="15.75" customHeight="1">
      <c r="A382" s="35" t="n">
        <v>185</v>
      </c>
      <c r="B382" s="49">
        <f>IF(OR(ISNUMBER(SEARCH("Tequila", C382)), ISNUMBER(SEARCH("Tequila", D382))), "Tequila",
IF(OR(ISNUMBER(SEARCH("Rum", C382)), ISNUMBER(SEARCH("Rum", D382))), "Rum",
IF(OR(ISNUMBER(SEARCH("Whiskey", C382)), ISNUMBER(SEARCH("Whiskey", D382))), "Whiskey",
IF(OR(ISNUMBER(SEARCH("Gin", C382)), ISNUMBER(SEARCH("Gin", D382))), "Gin",
IF(OR(ISNUMBER(SEARCH("Liqueur", C382)), ISNUMBER(SEARCH("Liqueur", D382))), "Liqueur", "")))))</f>
        <v/>
      </c>
      <c r="C382" s="52" t="n"/>
      <c r="D382" s="51" t="inlineStr">
        <is>
          <t>Tres Generaciones Anejo Tequila (750mL/item) - $45.11 2</t>
        </is>
      </c>
      <c r="E382" s="52" t="n">
        <v>750</v>
      </c>
      <c r="F382" s="51">
        <f>TRIM(MID(D382, FIND("$", D382), FIND(" ", D382, FIND("$", D382)) - FIND("$", D382))
)</f>
        <v/>
      </c>
      <c r="G382" s="53" t="n">
        <v>29.57</v>
      </c>
      <c r="H382" s="54">
        <f>SUM(E382/G382)</f>
        <v/>
      </c>
      <c r="I382" s="104">
        <f>SUM(F382/H382)</f>
        <v/>
      </c>
      <c r="J382" s="105">
        <f>SUM(4*I382)</f>
        <v/>
      </c>
      <c r="K382" s="100">
        <f>SUM(I382*1.5)</f>
        <v/>
      </c>
      <c r="L382" s="101">
        <f>SUM(K382*4)</f>
        <v/>
      </c>
      <c r="M382" s="102">
        <f>SUM(I382*2)</f>
        <v/>
      </c>
      <c r="N382" s="103">
        <f>SUM(M382*4)</f>
        <v/>
      </c>
    </row>
    <row r="383" ht="15.75" customHeight="1">
      <c r="A383" s="35" t="n">
        <v>186</v>
      </c>
      <c r="B383" s="49">
        <f>IF(OR(ISNUMBER(SEARCH("Tequila", C383)), ISNUMBER(SEARCH("Tequila", D383))), "Tequila",
IF(OR(ISNUMBER(SEARCH("Rum", C383)), ISNUMBER(SEARCH("Rum", D383))), "Rum",
IF(OR(ISNUMBER(SEARCH("Whiskey", C383)), ISNUMBER(SEARCH("Whiskey", D383))), "Whiskey",
IF(OR(ISNUMBER(SEARCH("Gin", C383)), ISNUMBER(SEARCH("Gin", D383))), "Gin",
IF(OR(ISNUMBER(SEARCH("Liqueur", C383)), ISNUMBER(SEARCH("Liqueur", D383))), "Liqueur", "")))))</f>
        <v/>
      </c>
      <c r="C383" s="58" t="n"/>
      <c r="D383" s="51" t="inlineStr">
        <is>
          <t>Tres Generaciones Plata Tequila (750mL/item) - $36.94 2</t>
        </is>
      </c>
      <c r="E383" s="52" t="n">
        <v>750</v>
      </c>
      <c r="F383" s="51">
        <f>TRIM(MID(D383, FIND("$", D383), FIND(" ", D383, FIND("$", D383)) - FIND("$", D383))
)</f>
        <v/>
      </c>
      <c r="G383" s="53" t="n">
        <v>29.57</v>
      </c>
      <c r="H383" s="54">
        <f>SUM(E383/G383)</f>
        <v/>
      </c>
      <c r="I383" s="104">
        <f>SUM(F383/H383)</f>
        <v/>
      </c>
      <c r="J383" s="105">
        <f>SUM(4*I383)</f>
        <v/>
      </c>
      <c r="K383" s="100">
        <f>SUM(I383*1.5)</f>
        <v/>
      </c>
      <c r="L383" s="101">
        <f>SUM(K383*4)</f>
        <v/>
      </c>
      <c r="M383" s="102">
        <f>SUM(I383*2)</f>
        <v/>
      </c>
      <c r="N383" s="103">
        <f>SUM(M383*4)</f>
        <v/>
      </c>
    </row>
    <row r="384" ht="15.75" customHeight="1">
      <c r="A384" s="35" t="n">
        <v>187</v>
      </c>
      <c r="B384" s="49">
        <f>IF(OR(ISNUMBER(SEARCH("Tequila", C384)), ISNUMBER(SEARCH("Tequila", D384))), "Tequila",
IF(OR(ISNUMBER(SEARCH("Rum", C384)), ISNUMBER(SEARCH("Rum", D384))), "Rum",
IF(OR(ISNUMBER(SEARCH("Whiskey", C384)), ISNUMBER(SEARCH("Whiskey", D384))), "Whiskey",
IF(OR(ISNUMBER(SEARCH("Gin", C384)), ISNUMBER(SEARCH("Gin", D384))), "Gin",
IF(OR(ISNUMBER(SEARCH("Liqueur", C384)), ISNUMBER(SEARCH("Liqueur", D384))), "Liqueur", "")))))</f>
        <v/>
      </c>
      <c r="C384" s="52" t="n"/>
      <c r="D384" s="51" t="inlineStr">
        <is>
          <t>Tres Generaciones Reposado Tequila (750mL/item) - $41.02 1</t>
        </is>
      </c>
      <c r="E384" s="52" t="n">
        <v>750</v>
      </c>
      <c r="F384" s="51">
        <f>TRIM(MID(D384, FIND("$", D384), FIND(" ", D384, FIND("$", D384)) - FIND("$", D384))
)</f>
        <v/>
      </c>
      <c r="G384" s="53" t="n">
        <v>29.57</v>
      </c>
      <c r="H384" s="54">
        <f>SUM(E384/G384)</f>
        <v/>
      </c>
      <c r="I384" s="104">
        <f>SUM(F384/H384)</f>
        <v/>
      </c>
      <c r="J384" s="105">
        <f>SUM(4*I384)</f>
        <v/>
      </c>
      <c r="K384" s="100">
        <f>SUM(I384*1.5)</f>
        <v/>
      </c>
      <c r="L384" s="101">
        <f>SUM(K384*4)</f>
        <v/>
      </c>
      <c r="M384" s="102">
        <f>SUM(I384*2)</f>
        <v/>
      </c>
      <c r="N384" s="103">
        <f>SUM(M384*4)</f>
        <v/>
      </c>
    </row>
    <row r="385" ht="15.75" customHeight="1">
      <c r="A385" s="35" t="n">
        <v>337</v>
      </c>
      <c r="B385" s="49">
        <f>IF(OR(ISNUMBER(SEARCH("Tequila", C385)), ISNUMBER(SEARCH("Tequila", D385))), "Tequila",
IF(OR(ISNUMBER(SEARCH("Rum", C385)), ISNUMBER(SEARCH("Rum", D385))), "Rum",
IF(OR(ISNUMBER(SEARCH("Whiskey", C385)), ISNUMBER(SEARCH("Whiskey", D385))), "Whiskey",
IF(OR(ISNUMBER(SEARCH("Gin", C385)), ISNUMBER(SEARCH("Gin", D385))), "Gin",
IF(OR(ISNUMBER(SEARCH("Liqueur", C385)), ISNUMBER(SEARCH("Liqueur", D385))), "Liqueur", "")))))</f>
        <v/>
      </c>
      <c r="C385" s="52" t="n"/>
      <c r="D385" s="51" t="inlineStr">
        <is>
          <t>Tuaca Liqueur (750mL/item) - $19.78 2</t>
        </is>
      </c>
      <c r="E385" s="52" t="n">
        <v>750</v>
      </c>
      <c r="F385" s="51">
        <f>TRIM(MID(D385, FIND("$", D385), FIND(" ", D385, FIND("$", D385)) - FIND("$", D385))
)</f>
        <v/>
      </c>
      <c r="G385" s="53" t="n">
        <v>29.57</v>
      </c>
      <c r="H385" s="54">
        <f>SUM(E385/G385)</f>
        <v/>
      </c>
      <c r="I385" s="104">
        <f>SUM(F385/H385)</f>
        <v/>
      </c>
      <c r="J385" s="105">
        <f>SUM(4*I385)</f>
        <v/>
      </c>
      <c r="K385" s="100">
        <f>SUM(I385*1.5)</f>
        <v/>
      </c>
      <c r="L385" s="101">
        <f>SUM(K385*4)</f>
        <v/>
      </c>
      <c r="M385" s="102">
        <f>SUM(I385*2)</f>
        <v/>
      </c>
      <c r="N385" s="103">
        <f>SUM(M385*4)</f>
        <v/>
      </c>
    </row>
    <row r="386" ht="15.75" customHeight="1">
      <c r="A386" s="35" t="n">
        <v>224</v>
      </c>
      <c r="B386" s="49">
        <f>IF(OR(ISNUMBER(SEARCH("Tequila", C386)), ISNUMBER(SEARCH("Tequila", D386))), "Tequila",
IF(OR(ISNUMBER(SEARCH("Rum", C386)), ISNUMBER(SEARCH("Rum", D386))), "Rum",
IF(OR(ISNUMBER(SEARCH("Whiskey", C386)), ISNUMBER(SEARCH("Whiskey", D386))), "Whiskey",
IF(OR(ISNUMBER(SEARCH("Gin", C386)), ISNUMBER(SEARCH("Gin", D386))), "Gin",
IF(OR(ISNUMBER(SEARCH("Liqueur", C386)), ISNUMBER(SEARCH("Liqueur", D386))), "Liqueur", "")))))</f>
        <v/>
      </c>
      <c r="C386" s="58" t="n"/>
      <c r="D386" s="51" t="inlineStr">
        <is>
          <t>Una Vida Blanco Tequila (750mL/item) - $34.79 1</t>
        </is>
      </c>
      <c r="E386" s="52" t="n">
        <v>750</v>
      </c>
      <c r="F386" s="51">
        <f>TRIM(MID(D386, FIND("$", D386), FIND(" ", D386, FIND("$", D386)) - FIND("$", D386))
)</f>
        <v/>
      </c>
      <c r="G386" s="53" t="n">
        <v>29.57</v>
      </c>
      <c r="H386" s="54">
        <f>SUM(E386/G386)</f>
        <v/>
      </c>
      <c r="I386" s="104">
        <f>SUM(F386/H386)</f>
        <v/>
      </c>
      <c r="J386" s="105">
        <f>SUM(4*I386)</f>
        <v/>
      </c>
      <c r="K386" s="100">
        <f>SUM(I386*1.5)</f>
        <v/>
      </c>
      <c r="L386" s="101">
        <f>SUM(K386*4)</f>
        <v/>
      </c>
      <c r="M386" s="102">
        <f>SUM(I386*2)</f>
        <v/>
      </c>
      <c r="N386" s="103">
        <f>SUM(M386*4)</f>
        <v/>
      </c>
    </row>
    <row r="387" ht="15.75" customHeight="1">
      <c r="A387" s="35" t="n">
        <v>225</v>
      </c>
      <c r="B387" s="49">
        <f>IF(OR(ISNUMBER(SEARCH("Tequila", C387)), ISNUMBER(SEARCH("Tequila", D387))), "Tequila",
IF(OR(ISNUMBER(SEARCH("Rum", C387)), ISNUMBER(SEARCH("Rum", D387))), "Rum",
IF(OR(ISNUMBER(SEARCH("Whiskey", C387)), ISNUMBER(SEARCH("Whiskey", D387))), "Whiskey",
IF(OR(ISNUMBER(SEARCH("Gin", C387)), ISNUMBER(SEARCH("Gin", D387))), "Gin",
IF(OR(ISNUMBER(SEARCH("Liqueur", C387)), ISNUMBER(SEARCH("Liqueur", D387))), "Liqueur", "")))))</f>
        <v/>
      </c>
      <c r="C387" s="58" t="n"/>
      <c r="D387" s="51" t="inlineStr">
        <is>
          <t>Volans Blanco Tequila (750mL/item) - $42.95 2</t>
        </is>
      </c>
      <c r="E387" s="52" t="n">
        <v>750</v>
      </c>
      <c r="F387" s="51">
        <f>TRIM(MID(D387, FIND("$", D387), FIND(" ", D387, FIND("$", D387)) - FIND("$", D387))
)</f>
        <v/>
      </c>
      <c r="G387" s="53" t="n">
        <v>29.57</v>
      </c>
      <c r="H387" s="54">
        <f>SUM(E387/G387)</f>
        <v/>
      </c>
      <c r="I387" s="104">
        <f>SUM(F387/H387)</f>
        <v/>
      </c>
      <c r="J387" s="105">
        <f>SUM(4*I387)</f>
        <v/>
      </c>
      <c r="K387" s="100">
        <f>SUM(I387*1.5)</f>
        <v/>
      </c>
      <c r="L387" s="101">
        <f>SUM(K387*4)</f>
        <v/>
      </c>
      <c r="M387" s="102">
        <f>SUM(I387*2)</f>
        <v/>
      </c>
      <c r="N387" s="103">
        <f>SUM(M387*4)</f>
        <v/>
      </c>
    </row>
    <row r="388" ht="15.75" customHeight="1">
      <c r="A388" s="35" t="n">
        <v>226</v>
      </c>
      <c r="B388" s="49">
        <f>IF(OR(ISNUMBER(SEARCH("Tequila", C388)), ISNUMBER(SEARCH("Tequila", D388))), "Tequila",
IF(OR(ISNUMBER(SEARCH("Rum", C388)), ISNUMBER(SEARCH("Rum", D388))), "Rum",
IF(OR(ISNUMBER(SEARCH("Whiskey", C388)), ISNUMBER(SEARCH("Whiskey", D388))), "Whiskey",
IF(OR(ISNUMBER(SEARCH("Gin", C388)), ISNUMBER(SEARCH("Gin", D388))), "Gin",
IF(OR(ISNUMBER(SEARCH("Liqueur", C388)), ISNUMBER(SEARCH("Liqueur", D388))), "Liqueur", "")))))</f>
        <v/>
      </c>
      <c r="C388" s="52" t="n"/>
      <c r="D388" s="51" t="inlineStr">
        <is>
          <t>Volans Reposado Tequila (750mL/item) - $51.14 2</t>
        </is>
      </c>
      <c r="E388" s="52" t="n">
        <v>750</v>
      </c>
      <c r="F388" s="51">
        <f>TRIM(MID(D388, FIND("$", D388), FIND(" ", D388, FIND("$", D388)) - FIND("$", D388))
)</f>
        <v/>
      </c>
      <c r="G388" s="53" t="n">
        <v>29.57</v>
      </c>
      <c r="H388" s="54">
        <f>SUM(E388/G388)</f>
        <v/>
      </c>
      <c r="I388" s="104">
        <f>SUM(F388/H388)</f>
        <v/>
      </c>
      <c r="J388" s="105">
        <f>SUM(4*I388)</f>
        <v/>
      </c>
      <c r="K388" s="100">
        <f>SUM(I388*1.5)</f>
        <v/>
      </c>
      <c r="L388" s="101">
        <f>SUM(K388*4)</f>
        <v/>
      </c>
      <c r="M388" s="102">
        <f>SUM(I388*2)</f>
        <v/>
      </c>
      <c r="N388" s="103">
        <f>SUM(M388*4)</f>
        <v/>
      </c>
    </row>
    <row r="389" ht="15.75" customHeight="1">
      <c r="A389" s="35" t="n">
        <v>321</v>
      </c>
      <c r="B389" s="49">
        <f>IF(OR(ISNUMBER(SEARCH("Tequila", C389)), ISNUMBER(SEARCH("Tequila", D389))), "Tequila",
IF(OR(ISNUMBER(SEARCH("Rum", C389)), ISNUMBER(SEARCH("Rum", D389))), "Rum",
IF(OR(ISNUMBER(SEARCH("Whiskey", C389)), ISNUMBER(SEARCH("Whiskey", D389))), "Whiskey",
IF(OR(ISNUMBER(SEARCH("Gin", C389)), ISNUMBER(SEARCH("Gin", D389))), "Gin",
IF(OR(ISNUMBER(SEARCH("Liqueur", C389)), ISNUMBER(SEARCH("Liqueur", D389))), "Liqueur", "")))))</f>
        <v/>
      </c>
      <c r="C389" s="52" t="n"/>
      <c r="D389" s="51" t="inlineStr">
        <is>
          <t>Vya Dry Vermouth (750mL/item) - $23.05 1</t>
        </is>
      </c>
      <c r="E389" s="52" t="n">
        <v>750</v>
      </c>
      <c r="F389" s="51">
        <f>TRIM(MID(D389, FIND("$", D389), FIND(" ", D389, FIND("$", D389)) - FIND("$", D389))
)</f>
        <v/>
      </c>
      <c r="G389" s="53" t="n">
        <v>29.57</v>
      </c>
      <c r="H389" s="54">
        <f>SUM(E389/G389)</f>
        <v/>
      </c>
      <c r="I389" s="104">
        <f>SUM(F389/H389)</f>
        <v/>
      </c>
      <c r="J389" s="105">
        <f>SUM(4*I389)</f>
        <v/>
      </c>
      <c r="K389" s="100">
        <f>SUM(I389*1.5)</f>
        <v/>
      </c>
      <c r="L389" s="101">
        <f>SUM(K389*4)</f>
        <v/>
      </c>
      <c r="M389" s="102">
        <f>SUM(I389*2)</f>
        <v/>
      </c>
      <c r="N389" s="103">
        <f>SUM(M389*4)</f>
        <v/>
      </c>
    </row>
    <row r="390" ht="15.75" customHeight="1">
      <c r="A390" s="35" t="n">
        <v>322</v>
      </c>
      <c r="B390" s="49">
        <f>IF(OR(ISNUMBER(SEARCH("Tequila", C390)), ISNUMBER(SEARCH("Tequila", D390))), "Tequila",
IF(OR(ISNUMBER(SEARCH("Rum", C390)), ISNUMBER(SEARCH("Rum", D390))), "Rum",
IF(OR(ISNUMBER(SEARCH("Whiskey", C390)), ISNUMBER(SEARCH("Whiskey", D390))), "Whiskey",
IF(OR(ISNUMBER(SEARCH("Gin", C390)), ISNUMBER(SEARCH("Gin", D390))), "Gin",
IF(OR(ISNUMBER(SEARCH("Liqueur", C390)), ISNUMBER(SEARCH("Liqueur", D390))), "Liqueur", "")))))</f>
        <v/>
      </c>
      <c r="C390" s="52" t="n"/>
      <c r="D390" s="51" t="inlineStr">
        <is>
          <t>Vya Sweet Vermouth (750mL/item) - $23.05 1</t>
        </is>
      </c>
      <c r="E390" s="52" t="n">
        <v>750</v>
      </c>
      <c r="F390" s="51">
        <f>TRIM(MID(D390, FIND("$", D390), FIND(" ", D390, FIND("$", D390)) - FIND("$", D390))
)</f>
        <v/>
      </c>
      <c r="G390" s="53" t="n">
        <v>29.57</v>
      </c>
      <c r="H390" s="54">
        <f>SUM(E390/G390)</f>
        <v/>
      </c>
      <c r="I390" s="104">
        <f>SUM(F390/H390)</f>
        <v/>
      </c>
      <c r="J390" s="105">
        <f>SUM(4*I390)</f>
        <v/>
      </c>
      <c r="K390" s="100">
        <f>SUM(I390*1.5)</f>
        <v/>
      </c>
      <c r="L390" s="101">
        <f>SUM(K390*4)</f>
        <v/>
      </c>
      <c r="M390" s="102">
        <f>SUM(I390*2)</f>
        <v/>
      </c>
      <c r="N390" s="103">
        <f>SUM(M390*4)</f>
        <v/>
      </c>
    </row>
    <row r="391" ht="15.75" customHeight="1">
      <c r="A391" s="59" t="n"/>
      <c r="B391" s="49">
        <f>IF(OR(ISNUMBER(SEARCH("Tequila", C391)), ISNUMBER(SEARCH("Tequila", D391))), "Tequila",
IF(OR(ISNUMBER(SEARCH("Rum", C391)), ISNUMBER(SEARCH("Rum", D391))), "Rum",
IF(OR(ISNUMBER(SEARCH("Whiskey", C391)), ISNUMBER(SEARCH("Whiskey", D391))), "Whiskey",
IF(OR(ISNUMBER(SEARCH("Gin", C391)), ISNUMBER(SEARCH("Gin", D391))), "Gin",
IF(OR(ISNUMBER(SEARCH("Liqueur", C391)), ISNUMBER(SEARCH("Liqueur", D391))), "Liqueur", "")))))</f>
        <v/>
      </c>
      <c r="C391" s="52" t="n"/>
      <c r="D391" s="60" t="inlineStr">
        <is>
          <t>Wahaka Mezcal Espadin (750ML) $27.30 1</t>
        </is>
      </c>
      <c r="E391" s="52" t="n">
        <v>750</v>
      </c>
      <c r="F391" s="51">
        <f>TRIM(MID(D391, FIND("$", D391), FIND(" ", D391, FIND("$", D391)) - FIND("$", D391))
)</f>
        <v/>
      </c>
      <c r="G391" s="53" t="n">
        <v>29.57</v>
      </c>
      <c r="H391" s="54">
        <f>SUM(E391/G391)</f>
        <v/>
      </c>
      <c r="I391" s="104">
        <f>SUM(F391/H391)</f>
        <v/>
      </c>
      <c r="J391" s="105">
        <f>SUM(4*I391)</f>
        <v/>
      </c>
      <c r="K391" s="100">
        <f>SUM(I391*1.5)</f>
        <v/>
      </c>
      <c r="L391" s="101">
        <f>SUM(K391*4)</f>
        <v/>
      </c>
      <c r="M391" s="102">
        <f>SUM(I391*2)</f>
        <v/>
      </c>
      <c r="N391" s="103">
        <f>SUM(M391*4)</f>
        <v/>
      </c>
    </row>
    <row r="392" ht="15.75" customHeight="1">
      <c r="A392" s="59" t="n"/>
      <c r="B392" s="49">
        <f>IF(OR(ISNUMBER(SEARCH("Tequila", C392)), ISNUMBER(SEARCH("Tequila", D392))), "Tequila",
IF(OR(ISNUMBER(SEARCH("Rum", C392)), ISNUMBER(SEARCH("Rum", D392))), "Rum",
IF(OR(ISNUMBER(SEARCH("Whiskey", C392)), ISNUMBER(SEARCH("Whiskey", D392))), "Whiskey",
IF(OR(ISNUMBER(SEARCH("Gin", C392)), ISNUMBER(SEARCH("Gin", D392))), "Gin",
IF(OR(ISNUMBER(SEARCH("Liqueur", C392)), ISNUMBER(SEARCH("Liqueur", D392))), "Liqueur", "")))))</f>
        <v/>
      </c>
      <c r="C392" s="52" t="n"/>
      <c r="D392" s="60" t="inlineStr">
        <is>
          <t>Wahaka Mezcal Reposado (750mL) $34.13 1</t>
        </is>
      </c>
      <c r="E392" s="52" t="n">
        <v>750</v>
      </c>
      <c r="F392" s="51">
        <f>TRIM(MID(D392, FIND("$", D392), FIND(" ", D392, FIND("$", D392)) - FIND("$", D392))
)</f>
        <v/>
      </c>
      <c r="G392" s="53" t="n">
        <v>29.57</v>
      </c>
      <c r="H392" s="54">
        <f>SUM(E392/G392)</f>
        <v/>
      </c>
      <c r="I392" s="104">
        <f>SUM(F392/H392)</f>
        <v/>
      </c>
      <c r="J392" s="105">
        <f>SUM(4*I392)</f>
        <v/>
      </c>
      <c r="K392" s="100">
        <f>SUM(I392*1.5)</f>
        <v/>
      </c>
      <c r="L392" s="101">
        <f>SUM(K392*4)</f>
        <v/>
      </c>
      <c r="M392" s="102">
        <f>SUM(I392*2)</f>
        <v/>
      </c>
      <c r="N392" s="103">
        <f>SUM(M392*4)</f>
        <v/>
      </c>
    </row>
    <row r="393" ht="15.75" customHeight="1">
      <c r="A393" s="35" t="n">
        <v>257</v>
      </c>
      <c r="B393" s="49">
        <f>IF(OR(ISNUMBER(SEARCH("Tequila", C393)), ISNUMBER(SEARCH("Tequila", D393))), "Tequila",
IF(OR(ISNUMBER(SEARCH("Rum", C393)), ISNUMBER(SEARCH("Rum", D393))), "Rum",
IF(OR(ISNUMBER(SEARCH("Whiskey", C393)), ISNUMBER(SEARCH("Whiskey", D393))), "Whiskey",
IF(OR(ISNUMBER(SEARCH("Gin", C393)), ISNUMBER(SEARCH("Gin", D393))), "Gin",
IF(OR(ISNUMBER(SEARCH("Liqueur", C393)), ISNUMBER(SEARCH("Liqueur", D393))), "Liqueur", "")))))</f>
        <v/>
      </c>
      <c r="C393" s="52" t="n"/>
      <c r="D393" s="51" t="n"/>
      <c r="E393" s="52" t="n"/>
      <c r="F393" s="51" t="n"/>
      <c r="G393" s="53" t="n"/>
      <c r="H393" s="54" t="n"/>
      <c r="I393" s="104" t="n"/>
      <c r="J393" s="105" t="n"/>
      <c r="K393" s="100" t="n"/>
      <c r="L393" s="101" t="n"/>
      <c r="M393" s="102" t="n"/>
      <c r="N393" s="103" t="n"/>
    </row>
    <row r="394" ht="15.75" customHeight="1">
      <c r="A394" s="35" t="n">
        <v>336</v>
      </c>
      <c r="B394" s="49">
        <f>IF(OR(ISNUMBER(SEARCH("Tequila", C394)), ISNUMBER(SEARCH("Tequila", D394))), "Tequila",
IF(OR(ISNUMBER(SEARCH("Rum", C394)), ISNUMBER(SEARCH("Rum", D394))), "Rum",
IF(OR(ISNUMBER(SEARCH("Whiskey", C394)), ISNUMBER(SEARCH("Whiskey", D394))), "Whiskey",
IF(OR(ISNUMBER(SEARCH("Gin", C394)), ISNUMBER(SEARCH("Gin", D394))), "Gin",
IF(OR(ISNUMBER(SEARCH("Liqueur", C394)), ISNUMBER(SEARCH("Liqueur", D394))), "Liqueur", "")))))</f>
        <v/>
      </c>
      <c r="C394" s="52" t="n"/>
      <c r="D394" s="51" t="inlineStr">
        <is>
          <t>Zacapa Centenario Rum (750mL/item) - $36.77 2</t>
        </is>
      </c>
      <c r="E394" s="52" t="n">
        <v>750</v>
      </c>
      <c r="F394" s="51">
        <f>TRIM(MID(D394, FIND("$", D394), FIND(" ", D394, FIND("$", D394)) - FIND("$", D394))
)</f>
        <v/>
      </c>
      <c r="G394" s="53" t="n">
        <v>29.57</v>
      </c>
      <c r="H394" s="54">
        <f>SUM(E394/G394)</f>
        <v/>
      </c>
      <c r="I394" s="104">
        <f>SUM(F394/H394)</f>
        <v/>
      </c>
      <c r="J394" s="105">
        <f>SUM(4*I394)</f>
        <v/>
      </c>
      <c r="K394" s="100">
        <f>SUM(I394*1.5)</f>
        <v/>
      </c>
      <c r="L394" s="101">
        <f>SUM(K394*4)</f>
        <v/>
      </c>
      <c r="M394" s="102">
        <f>SUM(I394*2)</f>
        <v/>
      </c>
      <c r="N394" s="103">
        <f>SUM(M394*4)</f>
        <v/>
      </c>
    </row>
    <row r="395" ht="15.75" customHeight="1">
      <c r="A395" s="35" t="n">
        <v>258</v>
      </c>
      <c r="B395" s="49">
        <f>IF(OR(ISNUMBER(SEARCH("Tequila", C395)), ISNUMBER(SEARCH("Tequila", D395))), "Tequila",
IF(OR(ISNUMBER(SEARCH("Rum", C395)), ISNUMBER(SEARCH("Rum", D395))), "Rum",
IF(OR(ISNUMBER(SEARCH("Whiskey", C395)), ISNUMBER(SEARCH("Whiskey", D395))), "Whiskey",
IF(OR(ISNUMBER(SEARCH("Gin", C395)), ISNUMBER(SEARCH("Gin", D395))), "Gin",
IF(OR(ISNUMBER(SEARCH("Liqueur", C395)), ISNUMBER(SEARCH("Liqueur", D395))), "Liqueur", "")))))</f>
        <v/>
      </c>
      <c r="C395" s="52" t="n"/>
      <c r="D395" s="51" t="n"/>
      <c r="E395" s="52" t="n"/>
      <c r="F395" s="51" t="n"/>
      <c r="G395" s="53" t="n"/>
      <c r="H395" s="54" t="n"/>
      <c r="I395" s="104" t="n"/>
      <c r="J395" s="105" t="n"/>
      <c r="K395" s="100" t="n"/>
      <c r="L395" s="101" t="n"/>
      <c r="M395" s="102" t="n"/>
      <c r="N395" s="103" t="n"/>
    </row>
    <row r="396" ht="15.75" customHeight="1">
      <c r="A396" s="64" t="n"/>
      <c r="B396" s="65" t="n"/>
      <c r="C396" s="62" t="n"/>
      <c r="D396" s="61" t="n"/>
      <c r="E396" s="62" t="n"/>
      <c r="F396" s="61" t="n"/>
      <c r="G396" s="53" t="n">
        <v>29.57</v>
      </c>
      <c r="H396" s="54">
        <f>SUM(E396/G396)</f>
        <v/>
      </c>
      <c r="I396" s="104">
        <f>SUM(F396/H396)</f>
        <v/>
      </c>
      <c r="J396" s="105">
        <f>SUM(4*I396)</f>
        <v/>
      </c>
      <c r="K396" s="100">
        <f>SUM(I396*1.5)</f>
        <v/>
      </c>
      <c r="L396" s="101">
        <f>SUM(K396*4)</f>
        <v/>
      </c>
      <c r="M396" s="102">
        <f>SUM(I396*2)</f>
        <v/>
      </c>
      <c r="N396" s="103">
        <f>SUM(M396*4)</f>
        <v/>
      </c>
    </row>
    <row r="397" ht="15.75" customHeight="1">
      <c r="A397" s="64" t="n"/>
      <c r="B397" s="65" t="n"/>
      <c r="C397" s="62" t="n"/>
      <c r="D397" s="61" t="n"/>
      <c r="E397" s="62" t="n"/>
      <c r="F397" s="61" t="n"/>
      <c r="G397" s="53" t="n">
        <v>29.57</v>
      </c>
      <c r="H397" s="54">
        <f>SUM(E397/G397)</f>
        <v/>
      </c>
      <c r="I397" s="104">
        <f>SUM(F397/H397)</f>
        <v/>
      </c>
      <c r="J397" s="105">
        <f>SUM(4*I397)</f>
        <v/>
      </c>
      <c r="K397" s="100">
        <f>SUM(I397*1.5)</f>
        <v/>
      </c>
      <c r="L397" s="101">
        <f>SUM(K397*4)</f>
        <v/>
      </c>
      <c r="M397" s="102">
        <f>SUM(I397*2)</f>
        <v/>
      </c>
      <c r="N397" s="103">
        <f>SUM(M397*4)</f>
        <v/>
      </c>
    </row>
    <row r="398" ht="15.75" customHeight="1">
      <c r="A398" s="64" t="n"/>
      <c r="B398" s="65" t="n"/>
      <c r="C398" s="62" t="n"/>
      <c r="D398" s="61" t="n"/>
      <c r="E398" s="62" t="n"/>
      <c r="F398" s="61" t="n"/>
      <c r="G398" s="53" t="n">
        <v>29.57</v>
      </c>
      <c r="H398" s="54">
        <f>SUM(E398/G398)</f>
        <v/>
      </c>
      <c r="I398" s="104">
        <f>SUM(F398/H398)</f>
        <v/>
      </c>
      <c r="J398" s="105">
        <f>SUM(4*I398)</f>
        <v/>
      </c>
      <c r="K398" s="100">
        <f>SUM(I398*1.5)</f>
        <v/>
      </c>
      <c r="L398" s="101">
        <f>SUM(K398*4)</f>
        <v/>
      </c>
      <c r="M398" s="102">
        <f>SUM(I398*2)</f>
        <v/>
      </c>
      <c r="N398" s="103">
        <f>SUM(M398*4)</f>
        <v/>
      </c>
    </row>
    <row r="399" ht="15.75" customHeight="1">
      <c r="A399" s="64" t="n"/>
      <c r="B399" s="65" t="n"/>
      <c r="C399" s="62" t="n"/>
      <c r="D399" s="61" t="n"/>
      <c r="E399" s="62" t="n"/>
      <c r="F399" s="61" t="n"/>
      <c r="G399" s="53" t="n">
        <v>29.57</v>
      </c>
      <c r="H399" s="54">
        <f>SUM(E399/G399)</f>
        <v/>
      </c>
      <c r="I399" s="104">
        <f>SUM(F399/H399)</f>
        <v/>
      </c>
      <c r="J399" s="105">
        <f>SUM(4*I399)</f>
        <v/>
      </c>
      <c r="K399" s="100">
        <f>SUM(I399*1.5)</f>
        <v/>
      </c>
      <c r="L399" s="101">
        <f>SUM(K399*4)</f>
        <v/>
      </c>
      <c r="M399" s="102">
        <f>SUM(I399*2)</f>
        <v/>
      </c>
      <c r="N399" s="103">
        <f>SUM(M399*4)</f>
        <v/>
      </c>
    </row>
    <row r="400" ht="15.75" customHeight="1">
      <c r="A400" s="64" t="n"/>
      <c r="B400" s="65" t="n"/>
      <c r="C400" s="62" t="n"/>
      <c r="D400" s="61" t="n"/>
      <c r="E400" s="62" t="n"/>
      <c r="F400" s="61" t="n"/>
      <c r="G400" s="53" t="n">
        <v>29.57</v>
      </c>
      <c r="H400" s="54">
        <f>SUM(E400/G400)</f>
        <v/>
      </c>
      <c r="I400" s="104">
        <f>SUM(F400/H400)</f>
        <v/>
      </c>
      <c r="J400" s="105">
        <f>SUM(4*I400)</f>
        <v/>
      </c>
      <c r="K400" s="100">
        <f>SUM(I400*1.5)</f>
        <v/>
      </c>
      <c r="L400" s="101">
        <f>SUM(K400*4)</f>
        <v/>
      </c>
      <c r="M400" s="102">
        <f>SUM(I400*2)</f>
        <v/>
      </c>
      <c r="N400" s="103">
        <f>SUM(M400*4)</f>
        <v/>
      </c>
    </row>
    <row r="401" ht="15.75" customHeight="1">
      <c r="A401" s="64" t="n"/>
      <c r="B401" s="65" t="n"/>
      <c r="C401" s="62" t="n"/>
      <c r="D401" s="61" t="n"/>
      <c r="E401" s="62" t="n"/>
      <c r="F401" s="61" t="n"/>
      <c r="G401" s="53" t="n">
        <v>29.57</v>
      </c>
      <c r="H401" s="54">
        <f>SUM(E401/G401)</f>
        <v/>
      </c>
      <c r="I401" s="104">
        <f>SUM(F401/H401)</f>
        <v/>
      </c>
      <c r="J401" s="105">
        <f>SUM(4*I401)</f>
        <v/>
      </c>
      <c r="K401" s="100">
        <f>SUM(I401*1.5)</f>
        <v/>
      </c>
      <c r="L401" s="101">
        <f>SUM(K401*4)</f>
        <v/>
      </c>
      <c r="M401" s="102">
        <f>SUM(I401*2)</f>
        <v/>
      </c>
      <c r="N401" s="103">
        <f>SUM(M401*4)</f>
        <v/>
      </c>
    </row>
    <row r="402" ht="15.75" customHeight="1">
      <c r="A402" s="64" t="n"/>
      <c r="B402" s="65" t="n"/>
      <c r="C402" s="62" t="n"/>
      <c r="D402" s="61" t="n"/>
      <c r="E402" s="62" t="n"/>
      <c r="F402" s="61" t="n"/>
      <c r="G402" s="53" t="n">
        <v>29.57</v>
      </c>
      <c r="H402" s="54">
        <f>SUM(E402/G402)</f>
        <v/>
      </c>
      <c r="I402" s="104">
        <f>SUM(F402/H402)</f>
        <v/>
      </c>
      <c r="J402" s="105">
        <f>SUM(4*I402)</f>
        <v/>
      </c>
      <c r="K402" s="100">
        <f>SUM(I402*1.5)</f>
        <v/>
      </c>
      <c r="L402" s="101">
        <f>SUM(K402*4)</f>
        <v/>
      </c>
      <c r="M402" s="102">
        <f>SUM(I402*2)</f>
        <v/>
      </c>
      <c r="N402" s="103">
        <f>SUM(M402*4)</f>
        <v/>
      </c>
    </row>
    <row r="403" ht="15.75" customHeight="1">
      <c r="A403" s="64" t="n"/>
      <c r="B403" s="65" t="n"/>
      <c r="C403" s="62" t="n"/>
      <c r="D403" s="61" t="n"/>
      <c r="E403" s="62" t="n"/>
      <c r="F403" s="61" t="n"/>
      <c r="G403" s="53" t="n">
        <v>29.57</v>
      </c>
      <c r="H403" s="54">
        <f>SUM(E403/G403)</f>
        <v/>
      </c>
      <c r="I403" s="104">
        <f>SUM(F403/H403)</f>
        <v/>
      </c>
      <c r="J403" s="105">
        <f>SUM(4*I403)</f>
        <v/>
      </c>
      <c r="K403" s="100">
        <f>SUM(I403*1.5)</f>
        <v/>
      </c>
      <c r="L403" s="101">
        <f>SUM(K403*4)</f>
        <v/>
      </c>
      <c r="M403" s="102">
        <f>SUM(I403*2)</f>
        <v/>
      </c>
      <c r="N403" s="103">
        <f>SUM(M403*4)</f>
        <v/>
      </c>
    </row>
    <row r="404" ht="15.75" customHeight="1">
      <c r="A404" s="64" t="n"/>
      <c r="B404" s="65" t="n"/>
      <c r="C404" s="62" t="n"/>
      <c r="D404" s="61" t="n"/>
      <c r="E404" s="62" t="n"/>
      <c r="F404" s="61" t="n"/>
      <c r="G404" s="53" t="n">
        <v>29.57</v>
      </c>
      <c r="H404" s="54">
        <f>SUM(E404/G404)</f>
        <v/>
      </c>
      <c r="I404" s="104">
        <f>SUM(F404/H404)</f>
        <v/>
      </c>
      <c r="J404" s="105">
        <f>SUM(4*I404)</f>
        <v/>
      </c>
      <c r="K404" s="100">
        <f>SUM(I404*1.5)</f>
        <v/>
      </c>
      <c r="L404" s="101">
        <f>SUM(K404*4)</f>
        <v/>
      </c>
      <c r="M404" s="102">
        <f>SUM(I404*2)</f>
        <v/>
      </c>
      <c r="N404" s="103">
        <f>SUM(M404*4)</f>
        <v/>
      </c>
    </row>
    <row r="405" ht="15.75" customHeight="1">
      <c r="A405" s="64" t="n"/>
      <c r="B405" s="65" t="n"/>
      <c r="C405" s="62" t="n"/>
      <c r="D405" s="61" t="n"/>
      <c r="E405" s="62" t="n"/>
      <c r="F405" s="61" t="n"/>
      <c r="G405" s="53" t="n">
        <v>29.57</v>
      </c>
      <c r="H405" s="54">
        <f>SUM(E405/G405)</f>
        <v/>
      </c>
      <c r="I405" s="104">
        <f>SUM(F405/H405)</f>
        <v/>
      </c>
      <c r="J405" s="105">
        <f>SUM(4*I405)</f>
        <v/>
      </c>
      <c r="K405" s="100">
        <f>SUM(I405*1.5)</f>
        <v/>
      </c>
      <c r="L405" s="101">
        <f>SUM(K405*4)</f>
        <v/>
      </c>
      <c r="M405" s="102">
        <f>SUM(I405*2)</f>
        <v/>
      </c>
      <c r="N405" s="103">
        <f>SUM(M405*4)</f>
        <v/>
      </c>
    </row>
    <row r="406" ht="15.75" customHeight="1">
      <c r="A406" s="64" t="n"/>
      <c r="B406" s="65" t="n"/>
      <c r="C406" s="62" t="n"/>
      <c r="D406" s="61" t="n"/>
      <c r="E406" s="62" t="n"/>
      <c r="F406" s="61" t="n"/>
      <c r="G406" s="53" t="n">
        <v>29.57</v>
      </c>
      <c r="H406" s="54">
        <f>SUM(E406/G406)</f>
        <v/>
      </c>
      <c r="I406" s="104">
        <f>SUM(F406/H406)</f>
        <v/>
      </c>
      <c r="J406" s="105">
        <f>SUM(4*I406)</f>
        <v/>
      </c>
      <c r="K406" s="100">
        <f>SUM(I406*1.5)</f>
        <v/>
      </c>
      <c r="L406" s="101">
        <f>SUM(K406*4)</f>
        <v/>
      </c>
      <c r="M406" s="102">
        <f>SUM(I406*2)</f>
        <v/>
      </c>
      <c r="N406" s="103">
        <f>SUM(M406*4)</f>
        <v/>
      </c>
    </row>
    <row r="407" ht="15.75" customHeight="1">
      <c r="A407" s="64" t="n"/>
      <c r="B407" s="65" t="n"/>
      <c r="C407" s="62" t="n"/>
      <c r="D407" s="61" t="n"/>
      <c r="E407" s="62" t="n"/>
      <c r="F407" s="61" t="n"/>
      <c r="G407" s="53" t="n">
        <v>29.57</v>
      </c>
      <c r="H407" s="54">
        <f>SUM(E407/G407)</f>
        <v/>
      </c>
      <c r="I407" s="104">
        <f>SUM(F407/H407)</f>
        <v/>
      </c>
      <c r="J407" s="105">
        <f>SUM(4*I407)</f>
        <v/>
      </c>
      <c r="K407" s="100">
        <f>SUM(I407*1.5)</f>
        <v/>
      </c>
      <c r="L407" s="101">
        <f>SUM(K407*4)</f>
        <v/>
      </c>
      <c r="M407" s="102">
        <f>SUM(I407*2)</f>
        <v/>
      </c>
      <c r="N407" s="103">
        <f>SUM(M407*4)</f>
        <v/>
      </c>
    </row>
    <row r="408" ht="15.75" customHeight="1">
      <c r="A408" s="64" t="n"/>
      <c r="B408" s="65" t="n"/>
      <c r="C408" s="62" t="n"/>
      <c r="D408" s="61" t="n"/>
      <c r="E408" s="62" t="n"/>
      <c r="F408" s="61" t="n"/>
      <c r="G408" s="53" t="n">
        <v>29.57</v>
      </c>
      <c r="H408" s="54">
        <f>SUM(E408/G408)</f>
        <v/>
      </c>
      <c r="I408" s="104">
        <f>SUM(F408/H408)</f>
        <v/>
      </c>
      <c r="J408" s="105">
        <f>SUM(4*I408)</f>
        <v/>
      </c>
      <c r="K408" s="100">
        <f>SUM(I408*1.5)</f>
        <v/>
      </c>
      <c r="L408" s="101">
        <f>SUM(K408*4)</f>
        <v/>
      </c>
      <c r="M408" s="102">
        <f>SUM(I408*2)</f>
        <v/>
      </c>
      <c r="N408" s="103">
        <f>SUM(M408*4)</f>
        <v/>
      </c>
    </row>
    <row r="409" ht="15.75" customHeight="1">
      <c r="A409" s="64" t="n"/>
      <c r="B409" s="65" t="n"/>
      <c r="C409" s="62" t="n"/>
      <c r="D409" s="61" t="n"/>
      <c r="E409" s="62" t="n"/>
      <c r="F409" s="61" t="n"/>
      <c r="G409" s="53" t="n">
        <v>29.57</v>
      </c>
      <c r="H409" s="54">
        <f>SUM(E409/G409)</f>
        <v/>
      </c>
      <c r="I409" s="104">
        <f>SUM(F409/H409)</f>
        <v/>
      </c>
      <c r="J409" s="105">
        <f>SUM(4*I409)</f>
        <v/>
      </c>
      <c r="K409" s="100">
        <f>SUM(I409*1.5)</f>
        <v/>
      </c>
      <c r="L409" s="101">
        <f>SUM(K409*4)</f>
        <v/>
      </c>
      <c r="M409" s="102">
        <f>SUM(I409*2)</f>
        <v/>
      </c>
      <c r="N409" s="103">
        <f>SUM(M409*4)</f>
        <v/>
      </c>
    </row>
    <row r="410" ht="15.75" customHeight="1">
      <c r="A410" s="64" t="n"/>
      <c r="B410" s="65" t="n"/>
      <c r="C410" s="62" t="n"/>
      <c r="D410" s="61" t="n"/>
      <c r="E410" s="62" t="n"/>
      <c r="F410" s="61" t="n"/>
      <c r="G410" s="53" t="n">
        <v>29.57</v>
      </c>
      <c r="H410" s="54">
        <f>SUM(E410/G410)</f>
        <v/>
      </c>
      <c r="I410" s="104">
        <f>SUM(F410/H410)</f>
        <v/>
      </c>
      <c r="J410" s="105">
        <f>SUM(4*I410)</f>
        <v/>
      </c>
      <c r="K410" s="100">
        <f>SUM(I410*1.5)</f>
        <v/>
      </c>
      <c r="L410" s="101">
        <f>SUM(K410*4)</f>
        <v/>
      </c>
      <c r="M410" s="102">
        <f>SUM(I410*2)</f>
        <v/>
      </c>
      <c r="N410" s="103">
        <f>SUM(M410*4)</f>
        <v/>
      </c>
    </row>
    <row r="411" ht="15.75" customHeight="1">
      <c r="A411" s="64" t="n"/>
      <c r="B411" s="65" t="n"/>
      <c r="C411" s="62" t="n"/>
      <c r="D411" s="61" t="n"/>
      <c r="E411" s="62" t="n"/>
      <c r="F411" s="61" t="n"/>
      <c r="G411" s="53" t="n">
        <v>29.57</v>
      </c>
      <c r="H411" s="54">
        <f>SUM(E411/G411)</f>
        <v/>
      </c>
      <c r="I411" s="104">
        <f>SUM(F411/H411)</f>
        <v/>
      </c>
      <c r="J411" s="105">
        <f>SUM(4*I411)</f>
        <v/>
      </c>
      <c r="K411" s="100">
        <f>SUM(I411*1.5)</f>
        <v/>
      </c>
      <c r="L411" s="101">
        <f>SUM(K411*4)</f>
        <v/>
      </c>
      <c r="M411" s="102">
        <f>SUM(I411*2)</f>
        <v/>
      </c>
      <c r="N411" s="103">
        <f>SUM(M411*4)</f>
        <v/>
      </c>
    </row>
    <row r="412" ht="15.75" customHeight="1">
      <c r="A412" s="64" t="n"/>
      <c r="B412" s="65" t="n"/>
      <c r="C412" s="62" t="n"/>
      <c r="D412" s="61" t="n"/>
      <c r="E412" s="62" t="n"/>
      <c r="F412" s="61" t="n"/>
      <c r="G412" s="53" t="n">
        <v>29.57</v>
      </c>
      <c r="H412" s="54">
        <f>SUM(E412/G412)</f>
        <v/>
      </c>
      <c r="I412" s="104">
        <f>SUM(F412/H412)</f>
        <v/>
      </c>
      <c r="J412" s="105">
        <f>SUM(4*I412)</f>
        <v/>
      </c>
      <c r="K412" s="100">
        <f>SUM(I412*1.5)</f>
        <v/>
      </c>
      <c r="L412" s="101">
        <f>SUM(K412*4)</f>
        <v/>
      </c>
      <c r="M412" s="102">
        <f>SUM(I412*2)</f>
        <v/>
      </c>
      <c r="N412" s="103">
        <f>SUM(M412*4)</f>
        <v/>
      </c>
    </row>
    <row r="413" ht="15.75" customHeight="1">
      <c r="A413" s="64" t="n"/>
      <c r="B413" s="65" t="n"/>
      <c r="C413" s="62" t="n"/>
      <c r="D413" s="61" t="n"/>
      <c r="E413" s="62" t="n"/>
      <c r="F413" s="61" t="n"/>
      <c r="G413" s="53" t="n">
        <v>29.57</v>
      </c>
      <c r="H413" s="54">
        <f>SUM(E413/G413)</f>
        <v/>
      </c>
      <c r="I413" s="104">
        <f>SUM(F413/H413)</f>
        <v/>
      </c>
      <c r="J413" s="105">
        <f>SUM(4*I413)</f>
        <v/>
      </c>
      <c r="K413" s="100">
        <f>SUM(I413*1.5)</f>
        <v/>
      </c>
      <c r="L413" s="101">
        <f>SUM(K413*4)</f>
        <v/>
      </c>
      <c r="M413" s="102">
        <f>SUM(I413*2)</f>
        <v/>
      </c>
      <c r="N413" s="103">
        <f>SUM(M413*4)</f>
        <v/>
      </c>
    </row>
    <row r="414" ht="15.75" customHeight="1">
      <c r="A414" s="64" t="n"/>
      <c r="B414" s="65" t="n"/>
      <c r="C414" s="62" t="n"/>
      <c r="D414" s="61" t="n"/>
      <c r="E414" s="62" t="n"/>
      <c r="F414" s="61" t="n"/>
      <c r="G414" s="53" t="n">
        <v>29.57</v>
      </c>
      <c r="H414" s="54">
        <f>SUM(E414/G414)</f>
        <v/>
      </c>
      <c r="I414" s="104">
        <f>SUM(F414/H414)</f>
        <v/>
      </c>
      <c r="J414" s="105">
        <f>SUM(4*I414)</f>
        <v/>
      </c>
      <c r="K414" s="100">
        <f>SUM(I414*1.5)</f>
        <v/>
      </c>
      <c r="L414" s="101">
        <f>SUM(K414*4)</f>
        <v/>
      </c>
      <c r="M414" s="102">
        <f>SUM(I414*2)</f>
        <v/>
      </c>
      <c r="N414" s="103">
        <f>SUM(M414*4)</f>
        <v/>
      </c>
    </row>
    <row r="415" ht="15.75" customHeight="1">
      <c r="A415" s="64" t="n"/>
      <c r="B415" s="65" t="n"/>
      <c r="C415" s="62" t="n"/>
      <c r="D415" s="61" t="n"/>
      <c r="E415" s="62" t="n"/>
      <c r="F415" s="61" t="n"/>
      <c r="G415" s="53" t="n">
        <v>29.57</v>
      </c>
      <c r="H415" s="54">
        <f>SUM(E415/G415)</f>
        <v/>
      </c>
      <c r="I415" s="104">
        <f>SUM(F415/H415)</f>
        <v/>
      </c>
      <c r="J415" s="105">
        <f>SUM(4*I415)</f>
        <v/>
      </c>
      <c r="K415" s="100">
        <f>SUM(I415*1.5)</f>
        <v/>
      </c>
      <c r="L415" s="101">
        <f>SUM(K415*4)</f>
        <v/>
      </c>
      <c r="M415" s="102">
        <f>SUM(I415*2)</f>
        <v/>
      </c>
      <c r="N415" s="103">
        <f>SUM(M415*4)</f>
        <v/>
      </c>
    </row>
    <row r="416" ht="15.75" customHeight="1">
      <c r="A416" s="64" t="n"/>
      <c r="B416" s="65" t="n"/>
      <c r="C416" s="62" t="n"/>
      <c r="D416" s="61" t="n"/>
      <c r="E416" s="62" t="n"/>
      <c r="F416" s="61" t="n"/>
      <c r="G416" s="53" t="n">
        <v>29.57</v>
      </c>
      <c r="H416" s="54">
        <f>SUM(E416/G416)</f>
        <v/>
      </c>
      <c r="I416" s="104">
        <f>SUM(F416/H416)</f>
        <v/>
      </c>
      <c r="J416" s="105">
        <f>SUM(4*I416)</f>
        <v/>
      </c>
      <c r="K416" s="100">
        <f>SUM(I416*1.5)</f>
        <v/>
      </c>
      <c r="L416" s="101">
        <f>SUM(K416*4)</f>
        <v/>
      </c>
      <c r="M416" s="102">
        <f>SUM(I416*2)</f>
        <v/>
      </c>
      <c r="N416" s="103">
        <f>SUM(M416*4)</f>
        <v/>
      </c>
    </row>
    <row r="417" ht="15.75" customHeight="1">
      <c r="A417" s="64" t="n"/>
      <c r="B417" s="65" t="n"/>
      <c r="C417" s="62" t="n"/>
      <c r="D417" s="61" t="n"/>
      <c r="E417" s="62" t="n"/>
      <c r="F417" s="61" t="n"/>
      <c r="G417" s="53" t="n">
        <v>29.57</v>
      </c>
      <c r="H417" s="54">
        <f>SUM(E417/G417)</f>
        <v/>
      </c>
      <c r="I417" s="104">
        <f>SUM(F417/H417)</f>
        <v/>
      </c>
      <c r="J417" s="105">
        <f>SUM(4*I417)</f>
        <v/>
      </c>
      <c r="K417" s="100">
        <f>SUM(I417*1.5)</f>
        <v/>
      </c>
      <c r="L417" s="101">
        <f>SUM(K417*4)</f>
        <v/>
      </c>
      <c r="M417" s="102">
        <f>SUM(I417*2)</f>
        <v/>
      </c>
      <c r="N417" s="103">
        <f>SUM(M417*4)</f>
        <v/>
      </c>
    </row>
    <row r="418" ht="15.75" customHeight="1">
      <c r="A418" s="64" t="n"/>
      <c r="B418" s="65" t="n"/>
      <c r="C418" s="62" t="n"/>
      <c r="D418" s="61" t="n"/>
      <c r="E418" s="62" t="n"/>
      <c r="F418" s="61" t="n"/>
      <c r="G418" s="53" t="n">
        <v>29.57</v>
      </c>
      <c r="H418" s="54">
        <f>SUM(E418/G418)</f>
        <v/>
      </c>
      <c r="I418" s="104">
        <f>SUM(F418/H418)</f>
        <v/>
      </c>
      <c r="J418" s="105">
        <f>SUM(4*I418)</f>
        <v/>
      </c>
      <c r="K418" s="100">
        <f>SUM(I418*1.5)</f>
        <v/>
      </c>
      <c r="L418" s="101">
        <f>SUM(K418*4)</f>
        <v/>
      </c>
      <c r="M418" s="102">
        <f>SUM(I418*2)</f>
        <v/>
      </c>
      <c r="N418" s="103">
        <f>SUM(M418*4)</f>
        <v/>
      </c>
    </row>
    <row r="419" ht="15.75" customHeight="1">
      <c r="A419" s="64" t="n"/>
      <c r="B419" s="65" t="n"/>
      <c r="C419" s="62" t="n"/>
      <c r="D419" s="61" t="n"/>
      <c r="E419" s="62" t="n"/>
      <c r="F419" s="61" t="n"/>
      <c r="G419" s="53" t="n">
        <v>29.57</v>
      </c>
      <c r="H419" s="54">
        <f>SUM(E419/G419)</f>
        <v/>
      </c>
      <c r="I419" s="104">
        <f>SUM(F419/H419)</f>
        <v/>
      </c>
      <c r="J419" s="105">
        <f>SUM(4*I419)</f>
        <v/>
      </c>
      <c r="K419" s="100">
        <f>SUM(I419*1.5)</f>
        <v/>
      </c>
      <c r="L419" s="101">
        <f>SUM(K419*4)</f>
        <v/>
      </c>
      <c r="M419" s="102">
        <f>SUM(I419*2)</f>
        <v/>
      </c>
      <c r="N419" s="103">
        <f>SUM(M419*4)</f>
        <v/>
      </c>
    </row>
    <row r="420" ht="15.75" customHeight="1">
      <c r="A420" s="64" t="n"/>
      <c r="B420" s="65" t="n"/>
      <c r="C420" s="62" t="n"/>
      <c r="D420" s="61" t="n"/>
      <c r="E420" s="62" t="n"/>
      <c r="F420" s="61" t="n"/>
      <c r="G420" s="53" t="n">
        <v>29.57</v>
      </c>
      <c r="H420" s="54">
        <f>SUM(E420/G420)</f>
        <v/>
      </c>
      <c r="I420" s="104">
        <f>SUM(F420/H420)</f>
        <v/>
      </c>
      <c r="J420" s="105">
        <f>SUM(4*I420)</f>
        <v/>
      </c>
      <c r="K420" s="100">
        <f>SUM(I420*1.5)</f>
        <v/>
      </c>
      <c r="L420" s="101">
        <f>SUM(K420*4)</f>
        <v/>
      </c>
      <c r="M420" s="102">
        <f>SUM(I420*2)</f>
        <v/>
      </c>
      <c r="N420" s="103">
        <f>SUM(M420*4)</f>
        <v/>
      </c>
    </row>
    <row r="421" ht="15.75" customHeight="1">
      <c r="A421" s="64" t="n"/>
      <c r="B421" s="65" t="n"/>
      <c r="C421" s="62" t="n"/>
      <c r="D421" s="61" t="n"/>
      <c r="E421" s="62" t="n"/>
      <c r="F421" s="61" t="n"/>
      <c r="G421" s="53" t="n">
        <v>29.57</v>
      </c>
      <c r="H421" s="54">
        <f>SUM(E421/G421)</f>
        <v/>
      </c>
      <c r="I421" s="104">
        <f>SUM(F421/H421)</f>
        <v/>
      </c>
      <c r="J421" s="105">
        <f>SUM(4*I421)</f>
        <v/>
      </c>
      <c r="K421" s="100">
        <f>SUM(I421*1.5)</f>
        <v/>
      </c>
      <c r="L421" s="101">
        <f>SUM(K421*4)</f>
        <v/>
      </c>
      <c r="M421" s="102">
        <f>SUM(I421*2)</f>
        <v/>
      </c>
      <c r="N421" s="103">
        <f>SUM(M421*4)</f>
        <v/>
      </c>
    </row>
    <row r="422" ht="15.75" customHeight="1">
      <c r="A422" s="64" t="n"/>
      <c r="B422" s="65" t="n"/>
      <c r="C422" s="62" t="n"/>
      <c r="D422" s="61" t="n"/>
      <c r="E422" s="62" t="n"/>
      <c r="F422" s="61" t="n"/>
      <c r="G422" s="53" t="n">
        <v>29.57</v>
      </c>
      <c r="H422" s="54">
        <f>SUM(E422/G422)</f>
        <v/>
      </c>
      <c r="I422" s="104">
        <f>SUM(F422/H422)</f>
        <v/>
      </c>
      <c r="J422" s="105">
        <f>SUM(4*I422)</f>
        <v/>
      </c>
      <c r="K422" s="100">
        <f>SUM(I422*1.5)</f>
        <v/>
      </c>
      <c r="L422" s="101">
        <f>SUM(K422*4)</f>
        <v/>
      </c>
      <c r="M422" s="102">
        <f>SUM(I422*2)</f>
        <v/>
      </c>
      <c r="N422" s="103">
        <f>SUM(M422*4)</f>
        <v/>
      </c>
    </row>
    <row r="423" ht="15.75" customHeight="1">
      <c r="A423" s="64" t="n"/>
      <c r="B423" s="65" t="n"/>
      <c r="C423" s="62" t="n"/>
      <c r="D423" s="61" t="n"/>
      <c r="E423" s="62" t="n"/>
      <c r="F423" s="61" t="n"/>
      <c r="G423" s="53" t="n">
        <v>29.57</v>
      </c>
      <c r="H423" s="54">
        <f>SUM(E423/G423)</f>
        <v/>
      </c>
      <c r="I423" s="104">
        <f>SUM(F423/H423)</f>
        <v/>
      </c>
      <c r="J423" s="105">
        <f>SUM(4*I423)</f>
        <v/>
      </c>
      <c r="K423" s="100">
        <f>SUM(I423*1.5)</f>
        <v/>
      </c>
      <c r="L423" s="101">
        <f>SUM(K423*4)</f>
        <v/>
      </c>
      <c r="M423" s="102">
        <f>SUM(I423*2)</f>
        <v/>
      </c>
      <c r="N423" s="103">
        <f>SUM(M423*4)</f>
        <v/>
      </c>
    </row>
    <row r="424" ht="15.75" customHeight="1">
      <c r="A424" s="64" t="n"/>
      <c r="B424" s="65" t="n"/>
      <c r="C424" s="62" t="n"/>
      <c r="D424" s="61" t="n"/>
      <c r="E424" s="62" t="n"/>
      <c r="F424" s="61" t="n"/>
      <c r="G424" s="53" t="n">
        <v>29.57</v>
      </c>
      <c r="H424" s="54">
        <f>SUM(E424/G424)</f>
        <v/>
      </c>
      <c r="I424" s="104">
        <f>SUM(F424/H424)</f>
        <v/>
      </c>
      <c r="J424" s="105">
        <f>SUM(4*I424)</f>
        <v/>
      </c>
      <c r="K424" s="100">
        <f>SUM(I424*1.5)</f>
        <v/>
      </c>
      <c r="L424" s="101">
        <f>SUM(K424*4)</f>
        <v/>
      </c>
      <c r="M424" s="102">
        <f>SUM(I424*2)</f>
        <v/>
      </c>
      <c r="N424" s="103">
        <f>SUM(M424*4)</f>
        <v/>
      </c>
    </row>
    <row r="425" ht="15.75" customHeight="1" thickBot="1">
      <c r="A425" s="66" t="n"/>
      <c r="B425" s="67" t="n"/>
      <c r="C425" s="68" t="n"/>
      <c r="D425" s="69" t="n"/>
      <c r="E425" s="68" t="n"/>
      <c r="F425" s="69" t="n"/>
      <c r="G425" s="70" t="n">
        <v>29.57</v>
      </c>
      <c r="H425" s="71">
        <f>SUM(E425/G425)</f>
        <v/>
      </c>
      <c r="I425" s="106">
        <f>SUM(F425/H425)</f>
        <v/>
      </c>
      <c r="J425" s="107">
        <f>SUM(4*I425)</f>
        <v/>
      </c>
      <c r="K425" s="93">
        <f>SUM(I425*1.5)</f>
        <v/>
      </c>
      <c r="L425" s="108">
        <f>SUM(K425*4)</f>
        <v/>
      </c>
      <c r="M425" s="95">
        <f>SUM(I425*2)</f>
        <v/>
      </c>
      <c r="N425" s="109">
        <f>SUM(M425*4)</f>
        <v/>
      </c>
    </row>
    <row r="426" ht="15.75" customHeight="1" thickTop="1">
      <c r="A426" s="76" t="n"/>
      <c r="B426" s="77" t="n"/>
      <c r="C426" s="78" t="n"/>
      <c r="E426" s="78" t="n"/>
      <c r="F426" s="78" t="n"/>
      <c r="G426" s="77" t="n"/>
      <c r="H426" s="77" t="n"/>
      <c r="I426" s="79" t="n"/>
      <c r="J426" s="110" t="n"/>
      <c r="K426" s="111" t="n"/>
      <c r="L426" s="112" t="n"/>
      <c r="M426" s="83" t="n"/>
      <c r="N426" s="84" t="n"/>
    </row>
    <row r="427" ht="15.75" customHeight="1">
      <c r="A427" s="76" t="n"/>
      <c r="B427" s="77" t="n"/>
      <c r="C427" s="78" t="n"/>
      <c r="E427" s="78" t="n"/>
      <c r="F427" s="78" t="n"/>
      <c r="G427" s="77" t="n"/>
      <c r="H427" s="77" t="n"/>
      <c r="I427" s="79" t="n"/>
      <c r="J427" s="110" t="n"/>
      <c r="K427" s="111" t="n"/>
      <c r="L427" s="112" t="n"/>
      <c r="M427" s="83" t="n"/>
      <c r="N427" s="84" t="n"/>
    </row>
    <row r="428" ht="15.75" customHeight="1">
      <c r="A428" s="76" t="n"/>
      <c r="B428" s="77" t="n"/>
      <c r="C428" s="78" t="n"/>
      <c r="E428" s="78" t="n"/>
      <c r="F428" s="78" t="n"/>
      <c r="G428" s="77" t="n"/>
      <c r="H428" s="77" t="n"/>
      <c r="I428" s="79" t="n"/>
      <c r="J428" s="110" t="n"/>
      <c r="K428" s="111" t="n"/>
      <c r="L428" s="112" t="n"/>
      <c r="M428" s="83" t="n"/>
      <c r="N428" s="84" t="n"/>
    </row>
    <row r="429" ht="15.75" customHeight="1">
      <c r="A429" s="76" t="n"/>
      <c r="B429" s="77" t="n"/>
      <c r="C429" s="78" t="n"/>
      <c r="E429" s="78" t="n"/>
      <c r="F429" s="78" t="n"/>
      <c r="G429" s="77" t="n"/>
      <c r="H429" s="77" t="n"/>
      <c r="I429" s="79" t="n"/>
      <c r="J429" s="110" t="n"/>
      <c r="K429" s="111" t="n"/>
      <c r="L429" s="112" t="n"/>
      <c r="M429" s="83" t="n"/>
      <c r="N429" s="84" t="n"/>
    </row>
    <row r="430" ht="15.75" customHeight="1">
      <c r="A430" s="76" t="n"/>
      <c r="B430" s="77" t="n"/>
      <c r="C430" s="78" t="n"/>
      <c r="E430" s="78" t="n"/>
      <c r="F430" s="78" t="n"/>
      <c r="G430" s="77" t="n"/>
      <c r="H430" s="77" t="n"/>
      <c r="I430" s="79" t="n"/>
      <c r="J430" s="110" t="n"/>
      <c r="K430" s="111" t="n"/>
      <c r="L430" s="112" t="n"/>
      <c r="M430" s="83" t="n"/>
      <c r="N430" s="84" t="n"/>
    </row>
    <row r="431" ht="15.75" customHeight="1">
      <c r="A431" s="76" t="n"/>
      <c r="B431" s="77" t="n"/>
      <c r="C431" s="78" t="n"/>
      <c r="E431" s="78" t="n"/>
      <c r="F431" s="78" t="n"/>
      <c r="G431" s="77" t="n"/>
      <c r="H431" s="77" t="n"/>
      <c r="I431" s="79" t="n"/>
      <c r="J431" s="110" t="n"/>
      <c r="K431" s="111" t="n"/>
      <c r="L431" s="112" t="n"/>
      <c r="M431" s="83" t="n"/>
      <c r="N431" s="84" t="n"/>
    </row>
    <row r="432" ht="15.75" customHeight="1">
      <c r="A432" s="76" t="n"/>
      <c r="B432" s="77" t="n"/>
      <c r="C432" s="78" t="n"/>
      <c r="E432" s="78" t="n"/>
      <c r="F432" s="78" t="n"/>
      <c r="G432" s="77" t="n"/>
      <c r="H432" s="77" t="n"/>
      <c r="I432" s="79" t="n"/>
      <c r="J432" s="110" t="n"/>
      <c r="K432" s="111" t="n"/>
      <c r="L432" s="112" t="n"/>
      <c r="M432" s="83" t="n"/>
      <c r="N432" s="84" t="n"/>
    </row>
    <row r="433" ht="15.75" customHeight="1">
      <c r="A433" s="76" t="n"/>
      <c r="B433" s="77" t="n"/>
      <c r="C433" s="78" t="n"/>
      <c r="E433" s="78" t="n"/>
      <c r="F433" s="78" t="n"/>
      <c r="G433" s="77" t="n"/>
      <c r="H433" s="77" t="n"/>
      <c r="I433" s="79" t="n"/>
      <c r="J433" s="110" t="n"/>
      <c r="K433" s="111" t="n"/>
      <c r="L433" s="112" t="n"/>
      <c r="M433" s="83" t="n"/>
      <c r="N433" s="84" t="n"/>
    </row>
    <row r="434" ht="15.75" customHeight="1">
      <c r="A434" s="76" t="n"/>
      <c r="B434" s="77" t="n"/>
      <c r="C434" s="78" t="n"/>
      <c r="E434" s="78" t="n"/>
      <c r="F434" s="78" t="n"/>
      <c r="G434" s="77" t="n"/>
      <c r="H434" s="77" t="n"/>
      <c r="I434" s="79" t="n"/>
      <c r="J434" s="110" t="n"/>
      <c r="K434" s="111" t="n"/>
      <c r="L434" s="112" t="n"/>
      <c r="M434" s="83" t="n"/>
      <c r="N434" s="84" t="n"/>
    </row>
    <row r="435" ht="15.75" customHeight="1">
      <c r="A435" s="76" t="n"/>
      <c r="B435" s="77" t="n"/>
      <c r="C435" s="78" t="n"/>
      <c r="E435" s="78" t="n"/>
      <c r="F435" s="78" t="n"/>
      <c r="G435" s="77" t="n"/>
      <c r="H435" s="77" t="n"/>
      <c r="I435" s="79" t="n"/>
      <c r="J435" s="110" t="n"/>
      <c r="K435" s="111" t="n"/>
      <c r="L435" s="112" t="n"/>
      <c r="M435" s="83" t="n"/>
      <c r="N435" s="84" t="n"/>
    </row>
    <row r="436" ht="15.75" customHeight="1">
      <c r="A436" s="76" t="n"/>
      <c r="B436" s="77" t="n"/>
      <c r="C436" s="78" t="n"/>
      <c r="E436" s="78" t="n"/>
      <c r="F436" s="78" t="n"/>
      <c r="G436" s="77" t="n"/>
      <c r="H436" s="77" t="n"/>
      <c r="I436" s="79" t="n"/>
      <c r="J436" s="110" t="n"/>
      <c r="K436" s="111" t="n"/>
      <c r="L436" s="112" t="n"/>
      <c r="M436" s="83" t="n"/>
      <c r="N436" s="84" t="n"/>
    </row>
    <row r="437" ht="15.75" customHeight="1">
      <c r="A437" s="76" t="n"/>
      <c r="B437" s="77" t="n"/>
      <c r="C437" s="78" t="n"/>
      <c r="E437" s="78" t="n"/>
      <c r="F437" s="78" t="n"/>
      <c r="G437" s="77" t="n"/>
      <c r="H437" s="77" t="n"/>
      <c r="I437" s="79" t="n"/>
      <c r="J437" s="110" t="n"/>
      <c r="K437" s="111" t="n"/>
      <c r="L437" s="112" t="n"/>
      <c r="M437" s="83" t="n"/>
      <c r="N437" s="84" t="n"/>
    </row>
    <row r="438" ht="15.75" customHeight="1">
      <c r="A438" s="76" t="n"/>
      <c r="B438" s="77" t="n"/>
      <c r="C438" s="78" t="n"/>
      <c r="E438" s="78" t="n"/>
      <c r="F438" s="78" t="n"/>
      <c r="G438" s="77" t="n"/>
      <c r="H438" s="77" t="n"/>
      <c r="I438" s="79" t="n"/>
      <c r="J438" s="110" t="n"/>
      <c r="K438" s="111" t="n"/>
      <c r="L438" s="112" t="n"/>
      <c r="M438" s="83" t="n"/>
      <c r="N438" s="84" t="n"/>
    </row>
    <row r="439" ht="15.75" customHeight="1">
      <c r="A439" s="76" t="n"/>
      <c r="B439" s="77" t="n"/>
      <c r="C439" s="78" t="n"/>
      <c r="E439" s="78" t="n"/>
      <c r="F439" s="78" t="n"/>
      <c r="G439" s="77" t="n"/>
      <c r="H439" s="77" t="n"/>
      <c r="I439" s="79" t="n"/>
      <c r="J439" s="110" t="n"/>
      <c r="K439" s="111" t="n"/>
      <c r="L439" s="112" t="n"/>
      <c r="M439" s="83" t="n"/>
      <c r="N439" s="84" t="n"/>
    </row>
    <row r="440" ht="15.75" customHeight="1">
      <c r="A440" s="76" t="n"/>
      <c r="B440" s="77" t="n"/>
      <c r="C440" s="78" t="n"/>
      <c r="E440" s="78" t="n"/>
      <c r="F440" s="78" t="n"/>
      <c r="G440" s="77" t="n"/>
      <c r="H440" s="77" t="n"/>
      <c r="I440" s="79" t="n"/>
      <c r="J440" s="110" t="n"/>
      <c r="K440" s="111" t="n"/>
      <c r="L440" s="112" t="n"/>
      <c r="M440" s="83" t="n"/>
      <c r="N440" s="84" t="n"/>
    </row>
    <row r="441" ht="15.75" customHeight="1">
      <c r="A441" s="76" t="n"/>
      <c r="B441" s="77" t="n"/>
      <c r="C441" s="78" t="n"/>
      <c r="E441" s="78" t="n"/>
      <c r="F441" s="78" t="n"/>
      <c r="G441" s="77" t="n"/>
      <c r="H441" s="77" t="n"/>
      <c r="I441" s="79" t="n"/>
      <c r="J441" s="110" t="n"/>
      <c r="K441" s="111" t="n"/>
      <c r="L441" s="112" t="n"/>
      <c r="M441" s="83" t="n"/>
      <c r="N441" s="84" t="n"/>
    </row>
    <row r="442" ht="15.75" customHeight="1">
      <c r="A442" s="76" t="n"/>
      <c r="B442" s="77" t="n"/>
      <c r="C442" s="78" t="n"/>
      <c r="E442" s="78" t="n"/>
      <c r="F442" s="78" t="n"/>
      <c r="G442" s="77" t="n"/>
      <c r="H442" s="77" t="n"/>
      <c r="I442" s="79" t="n"/>
      <c r="J442" s="110" t="n"/>
      <c r="K442" s="111" t="n"/>
      <c r="L442" s="112" t="n"/>
      <c r="M442" s="83" t="n"/>
      <c r="N442" s="84" t="n"/>
    </row>
    <row r="443" ht="15.75" customHeight="1">
      <c r="A443" s="76" t="n"/>
      <c r="B443" s="77" t="n"/>
      <c r="C443" s="78" t="n"/>
      <c r="E443" s="78" t="n"/>
      <c r="F443" s="78" t="n"/>
      <c r="G443" s="77" t="n"/>
      <c r="H443" s="77" t="n"/>
      <c r="I443" s="79" t="n"/>
      <c r="J443" s="110" t="n"/>
      <c r="K443" s="111" t="n"/>
      <c r="L443" s="112" t="n"/>
      <c r="M443" s="83" t="n"/>
      <c r="N443" s="84" t="n"/>
    </row>
    <row r="444" ht="15.75" customHeight="1">
      <c r="A444" s="76" t="n"/>
      <c r="B444" s="77" t="n"/>
      <c r="C444" s="78" t="n"/>
      <c r="E444" s="78" t="n"/>
      <c r="F444" s="78" t="n"/>
      <c r="G444" s="77" t="n"/>
      <c r="H444" s="77" t="n"/>
      <c r="I444" s="79" t="n"/>
      <c r="J444" s="110" t="n"/>
      <c r="K444" s="111" t="n"/>
      <c r="L444" s="112" t="n"/>
      <c r="M444" s="83" t="n"/>
      <c r="N444" s="84" t="n"/>
    </row>
    <row r="445" ht="15.75" customHeight="1">
      <c r="A445" s="76" t="n"/>
      <c r="B445" s="77" t="n"/>
      <c r="C445" s="78" t="n"/>
      <c r="E445" s="78" t="n"/>
      <c r="F445" s="78" t="n"/>
      <c r="G445" s="77" t="n"/>
      <c r="H445" s="77" t="n"/>
      <c r="I445" s="79" t="n"/>
      <c r="J445" s="110" t="n"/>
      <c r="K445" s="111" t="n"/>
      <c r="L445" s="112" t="n"/>
      <c r="M445" s="83" t="n"/>
      <c r="N445" s="84" t="n"/>
    </row>
    <row r="446" ht="15.75" customHeight="1">
      <c r="A446" s="76" t="n"/>
      <c r="B446" s="77" t="n"/>
      <c r="C446" s="78" t="n"/>
      <c r="E446" s="78" t="n"/>
      <c r="F446" s="78" t="n"/>
      <c r="G446" s="77" t="n"/>
      <c r="H446" s="77" t="n"/>
      <c r="I446" s="79" t="n"/>
      <c r="J446" s="110" t="n"/>
      <c r="K446" s="111" t="n"/>
      <c r="L446" s="112" t="n"/>
      <c r="M446" s="83" t="n"/>
      <c r="N446" s="84" t="n"/>
    </row>
    <row r="447" ht="15.75" customHeight="1">
      <c r="A447" s="76" t="n"/>
      <c r="B447" s="77" t="n"/>
      <c r="C447" s="78" t="n"/>
      <c r="E447" s="78" t="n"/>
      <c r="F447" s="78" t="n"/>
      <c r="G447" s="77" t="n"/>
      <c r="H447" s="77" t="n"/>
      <c r="I447" s="79" t="n"/>
      <c r="J447" s="110" t="n"/>
      <c r="K447" s="111" t="n"/>
      <c r="L447" s="112" t="n"/>
      <c r="M447" s="83" t="n"/>
      <c r="N447" s="84" t="n"/>
    </row>
    <row r="448" ht="15.75" customHeight="1">
      <c r="A448" s="76" t="n"/>
      <c r="B448" s="77" t="n"/>
      <c r="C448" s="78" t="n"/>
      <c r="E448" s="78" t="n"/>
      <c r="F448" s="78" t="n"/>
      <c r="G448" s="77" t="n"/>
      <c r="H448" s="77" t="n"/>
      <c r="I448" s="79" t="n"/>
      <c r="J448" s="110" t="n"/>
      <c r="K448" s="111" t="n"/>
      <c r="L448" s="112" t="n"/>
      <c r="M448" s="83" t="n"/>
      <c r="N448" s="84" t="n"/>
    </row>
    <row r="449" ht="15.75" customHeight="1">
      <c r="A449" s="76" t="n"/>
      <c r="B449" s="77" t="n"/>
      <c r="C449" s="78" t="n"/>
      <c r="E449" s="78" t="n"/>
      <c r="F449" s="78" t="n"/>
      <c r="G449" s="77" t="n"/>
      <c r="H449" s="77" t="n"/>
      <c r="I449" s="79" t="n"/>
      <c r="J449" s="110" t="n"/>
      <c r="K449" s="111" t="n"/>
      <c r="L449" s="112" t="n"/>
      <c r="M449" s="83" t="n"/>
      <c r="N449" s="84" t="n"/>
    </row>
    <row r="450" ht="15.75" customHeight="1">
      <c r="A450" s="76" t="n"/>
      <c r="B450" s="77" t="n"/>
      <c r="C450" s="78" t="n"/>
      <c r="E450" s="78" t="n"/>
      <c r="F450" s="78" t="n"/>
      <c r="G450" s="77" t="n"/>
      <c r="H450" s="77" t="n"/>
      <c r="I450" s="79" t="n"/>
      <c r="J450" s="110" t="n"/>
      <c r="K450" s="111" t="n"/>
      <c r="L450" s="112" t="n"/>
      <c r="M450" s="83" t="n"/>
      <c r="N450" s="84" t="n"/>
    </row>
    <row r="451" ht="15.75" customHeight="1">
      <c r="A451" s="76" t="n"/>
      <c r="B451" s="77" t="n"/>
      <c r="C451" s="78" t="n"/>
      <c r="E451" s="78" t="n"/>
      <c r="F451" s="78" t="n"/>
      <c r="G451" s="77" t="n"/>
      <c r="H451" s="77" t="n"/>
      <c r="I451" s="79" t="n"/>
      <c r="J451" s="110" t="n"/>
      <c r="K451" s="111" t="n"/>
      <c r="L451" s="112" t="n"/>
      <c r="M451" s="83" t="n"/>
      <c r="N451" s="84" t="n"/>
    </row>
    <row r="452" ht="15.75" customHeight="1">
      <c r="A452" s="76" t="n"/>
      <c r="B452" s="77" t="n"/>
      <c r="C452" s="78" t="n"/>
      <c r="E452" s="78" t="n"/>
      <c r="F452" s="78" t="n"/>
      <c r="G452" s="77" t="n"/>
      <c r="H452" s="77" t="n"/>
      <c r="I452" s="79" t="n"/>
      <c r="J452" s="110" t="n"/>
      <c r="K452" s="111" t="n"/>
      <c r="L452" s="112" t="n"/>
      <c r="M452" s="83" t="n"/>
      <c r="N452" s="84" t="n"/>
    </row>
    <row r="453" ht="15.75" customHeight="1">
      <c r="A453" s="76" t="n"/>
      <c r="B453" s="77" t="n"/>
      <c r="C453" s="78" t="n"/>
      <c r="E453" s="78" t="n"/>
      <c r="F453" s="78" t="n"/>
      <c r="G453" s="77" t="n"/>
      <c r="H453" s="77" t="n"/>
      <c r="I453" s="79" t="n"/>
      <c r="J453" s="110" t="n"/>
      <c r="K453" s="111" t="n"/>
      <c r="L453" s="112" t="n"/>
      <c r="M453" s="83" t="n"/>
      <c r="N453" s="84" t="n"/>
    </row>
    <row r="454" ht="15.75" customHeight="1">
      <c r="A454" s="76" t="n"/>
      <c r="B454" s="77" t="n"/>
      <c r="C454" s="78" t="n"/>
      <c r="E454" s="78" t="n"/>
      <c r="F454" s="78" t="n"/>
      <c r="G454" s="77" t="n"/>
      <c r="H454" s="77" t="n"/>
      <c r="I454" s="79" t="n"/>
      <c r="J454" s="110" t="n"/>
      <c r="K454" s="111" t="n"/>
      <c r="L454" s="112" t="n"/>
      <c r="M454" s="83" t="n"/>
      <c r="N454" s="84" t="n"/>
    </row>
    <row r="455" ht="15.75" customHeight="1">
      <c r="A455" s="76" t="n"/>
      <c r="B455" s="77" t="n"/>
      <c r="C455" s="78" t="n"/>
      <c r="E455" s="78" t="n"/>
      <c r="F455" s="78" t="n"/>
      <c r="G455" s="77" t="n"/>
      <c r="H455" s="77" t="n"/>
      <c r="I455" s="79" t="n"/>
      <c r="J455" s="110" t="n"/>
      <c r="K455" s="111" t="n"/>
      <c r="L455" s="112" t="n"/>
      <c r="M455" s="83" t="n"/>
      <c r="N455" s="84" t="n"/>
    </row>
    <row r="456" ht="15.75" customHeight="1">
      <c r="A456" s="76" t="n"/>
      <c r="B456" s="77" t="n"/>
      <c r="C456" s="78" t="n"/>
      <c r="E456" s="78" t="n"/>
      <c r="F456" s="78" t="n"/>
      <c r="G456" s="77" t="n"/>
      <c r="H456" s="77" t="n"/>
      <c r="I456" s="79" t="n"/>
      <c r="J456" s="110" t="n"/>
      <c r="K456" s="111" t="n"/>
      <c r="L456" s="112" t="n"/>
      <c r="M456" s="83" t="n"/>
      <c r="N456" s="84" t="n"/>
    </row>
    <row r="457" ht="15.75" customHeight="1">
      <c r="A457" s="76" t="n"/>
      <c r="B457" s="77" t="n"/>
      <c r="C457" s="78" t="n"/>
      <c r="E457" s="78" t="n"/>
      <c r="F457" s="78" t="n"/>
      <c r="G457" s="77" t="n"/>
      <c r="H457" s="77" t="n"/>
      <c r="I457" s="79" t="n"/>
      <c r="J457" s="110" t="n"/>
      <c r="K457" s="111" t="n"/>
      <c r="L457" s="112" t="n"/>
      <c r="M457" s="83" t="n"/>
      <c r="N457" s="84" t="n"/>
    </row>
    <row r="458" ht="15.75" customHeight="1">
      <c r="A458" s="76" t="n"/>
      <c r="B458" s="77" t="n"/>
      <c r="C458" s="78" t="n"/>
      <c r="E458" s="78" t="n"/>
      <c r="F458" s="78" t="n"/>
      <c r="G458" s="77" t="n"/>
      <c r="H458" s="77" t="n"/>
      <c r="I458" s="79" t="n"/>
      <c r="J458" s="110" t="n"/>
      <c r="K458" s="111" t="n"/>
      <c r="L458" s="112" t="n"/>
      <c r="M458" s="83" t="n"/>
      <c r="N458" s="84" t="n"/>
    </row>
    <row r="459" ht="15.75" customHeight="1">
      <c r="A459" s="76" t="n"/>
      <c r="B459" s="77" t="n"/>
      <c r="C459" s="78" t="n"/>
      <c r="E459" s="78" t="n"/>
      <c r="F459" s="78" t="n"/>
      <c r="G459" s="77" t="n"/>
      <c r="H459" s="77" t="n"/>
      <c r="I459" s="79" t="n"/>
      <c r="J459" s="110" t="n"/>
      <c r="K459" s="111" t="n"/>
      <c r="L459" s="112" t="n"/>
      <c r="M459" s="83" t="n"/>
      <c r="N459" s="84" t="n"/>
    </row>
    <row r="460" ht="15.75" customHeight="1">
      <c r="A460" s="76" t="n"/>
      <c r="B460" s="77" t="n"/>
      <c r="C460" s="78" t="n"/>
      <c r="E460" s="78" t="n"/>
      <c r="F460" s="78" t="n"/>
      <c r="G460" s="77" t="n"/>
      <c r="H460" s="77" t="n"/>
      <c r="I460" s="79" t="n"/>
      <c r="J460" s="110" t="n"/>
      <c r="K460" s="111" t="n"/>
      <c r="L460" s="112" t="n"/>
      <c r="M460" s="83" t="n"/>
      <c r="N460" s="84" t="n"/>
    </row>
    <row r="461" ht="15.75" customHeight="1">
      <c r="A461" s="76" t="n"/>
      <c r="B461" s="77" t="n"/>
      <c r="C461" s="78" t="n"/>
      <c r="E461" s="78" t="n"/>
      <c r="F461" s="78" t="n"/>
      <c r="G461" s="77" t="n"/>
      <c r="H461" s="77" t="n"/>
      <c r="I461" s="79" t="n"/>
      <c r="J461" s="110" t="n"/>
      <c r="K461" s="111" t="n"/>
      <c r="L461" s="112" t="n"/>
      <c r="M461" s="83" t="n"/>
      <c r="N461" s="84" t="n"/>
    </row>
    <row r="462" ht="15.75" customHeight="1">
      <c r="A462" s="76" t="n"/>
      <c r="B462" s="77" t="n"/>
      <c r="C462" s="78" t="n"/>
      <c r="E462" s="78" t="n"/>
      <c r="F462" s="78" t="n"/>
      <c r="G462" s="77" t="n"/>
      <c r="H462" s="77" t="n"/>
      <c r="I462" s="79" t="n"/>
      <c r="J462" s="110" t="n"/>
      <c r="K462" s="111" t="n"/>
      <c r="L462" s="112" t="n"/>
      <c r="M462" s="83" t="n"/>
      <c r="N462" s="84" t="n"/>
    </row>
    <row r="463" ht="15.75" customHeight="1">
      <c r="A463" s="76" t="n"/>
      <c r="B463" s="77" t="n"/>
      <c r="C463" s="78" t="n"/>
      <c r="E463" s="78" t="n"/>
      <c r="F463" s="78" t="n"/>
      <c r="G463" s="77" t="n"/>
      <c r="H463" s="77" t="n"/>
      <c r="I463" s="79" t="n"/>
      <c r="J463" s="110" t="n"/>
      <c r="K463" s="111" t="n"/>
      <c r="L463" s="112" t="n"/>
      <c r="M463" s="83" t="n"/>
      <c r="N463" s="84" t="n"/>
    </row>
    <row r="464" ht="15.75" customHeight="1">
      <c r="A464" s="76" t="n"/>
      <c r="B464" s="77" t="n"/>
      <c r="C464" s="78" t="n"/>
      <c r="E464" s="78" t="n"/>
      <c r="F464" s="78" t="n"/>
      <c r="G464" s="77" t="n"/>
      <c r="H464" s="77" t="n"/>
      <c r="I464" s="79" t="n"/>
      <c r="J464" s="110" t="n"/>
      <c r="K464" s="111" t="n"/>
      <c r="L464" s="112" t="n"/>
      <c r="M464" s="83" t="n"/>
      <c r="N464" s="84" t="n"/>
    </row>
    <row r="465" ht="15.75" customHeight="1">
      <c r="A465" s="76" t="n"/>
      <c r="B465" s="77" t="n"/>
      <c r="C465" s="78" t="n"/>
      <c r="E465" s="78" t="n"/>
      <c r="F465" s="78" t="n"/>
      <c r="G465" s="77" t="n"/>
      <c r="H465" s="77" t="n"/>
      <c r="I465" s="79" t="n"/>
      <c r="J465" s="110" t="n"/>
      <c r="K465" s="111" t="n"/>
      <c r="L465" s="112" t="n"/>
      <c r="M465" s="83" t="n"/>
      <c r="N465" s="84" t="n"/>
    </row>
    <row r="466" ht="15.75" customHeight="1">
      <c r="A466" s="76" t="n"/>
      <c r="B466" s="77" t="n"/>
      <c r="C466" s="78" t="n"/>
      <c r="E466" s="78" t="n"/>
      <c r="F466" s="78" t="n"/>
      <c r="G466" s="77" t="n"/>
      <c r="H466" s="77" t="n"/>
      <c r="I466" s="79" t="n"/>
      <c r="J466" s="110" t="n"/>
      <c r="K466" s="111" t="n"/>
      <c r="L466" s="112" t="n"/>
      <c r="M466" s="83" t="n"/>
      <c r="N466" s="84" t="n"/>
    </row>
    <row r="467" ht="15.75" customHeight="1">
      <c r="A467" s="76" t="n"/>
      <c r="B467" s="77" t="n"/>
      <c r="C467" s="78" t="n"/>
      <c r="E467" s="78" t="n"/>
      <c r="F467" s="78" t="n"/>
      <c r="G467" s="77" t="n"/>
      <c r="H467" s="77" t="n"/>
      <c r="I467" s="79" t="n"/>
      <c r="J467" s="110" t="n"/>
      <c r="K467" s="111" t="n"/>
      <c r="L467" s="112" t="n"/>
      <c r="M467" s="83" t="n"/>
      <c r="N467" s="84" t="n"/>
    </row>
    <row r="468" ht="15.75" customHeight="1">
      <c r="A468" s="76" t="n"/>
      <c r="B468" s="77" t="n"/>
      <c r="C468" s="78" t="n"/>
      <c r="E468" s="78" t="n"/>
      <c r="F468" s="78" t="n"/>
      <c r="G468" s="77" t="n"/>
      <c r="H468" s="77" t="n"/>
      <c r="I468" s="79" t="n"/>
      <c r="J468" s="110" t="n"/>
      <c r="K468" s="111" t="n"/>
      <c r="L468" s="112" t="n"/>
      <c r="M468" s="83" t="n"/>
      <c r="N468" s="84" t="n"/>
    </row>
    <row r="469" ht="15.75" customHeight="1">
      <c r="A469" s="76" t="n"/>
      <c r="B469" s="77" t="n"/>
      <c r="C469" s="78" t="n"/>
      <c r="E469" s="78" t="n"/>
      <c r="F469" s="78" t="n"/>
      <c r="G469" s="77" t="n"/>
      <c r="H469" s="77" t="n"/>
      <c r="I469" s="79" t="n"/>
      <c r="J469" s="110" t="n"/>
      <c r="K469" s="111" t="n"/>
      <c r="L469" s="112" t="n"/>
      <c r="M469" s="83" t="n"/>
      <c r="N469" s="84" t="n"/>
    </row>
    <row r="470" ht="15.75" customHeight="1">
      <c r="A470" s="76" t="n"/>
      <c r="B470" s="77" t="n"/>
      <c r="C470" s="78" t="n"/>
      <c r="E470" s="78" t="n"/>
      <c r="F470" s="78" t="n"/>
      <c r="G470" s="77" t="n"/>
      <c r="H470" s="77" t="n"/>
      <c r="I470" s="79" t="n"/>
      <c r="J470" s="110" t="n"/>
      <c r="K470" s="111" t="n"/>
      <c r="L470" s="112" t="n"/>
      <c r="M470" s="83" t="n"/>
      <c r="N470" s="84" t="n"/>
    </row>
    <row r="471" ht="15.75" customHeight="1">
      <c r="A471" s="76" t="n"/>
      <c r="B471" s="77" t="n"/>
      <c r="C471" s="78" t="n"/>
      <c r="E471" s="78" t="n"/>
      <c r="F471" s="78" t="n"/>
      <c r="G471" s="77" t="n"/>
      <c r="H471" s="77" t="n"/>
      <c r="I471" s="79" t="n"/>
      <c r="J471" s="110" t="n"/>
      <c r="K471" s="111" t="n"/>
      <c r="L471" s="112" t="n"/>
      <c r="M471" s="83" t="n"/>
      <c r="N471" s="84" t="n"/>
    </row>
    <row r="472" ht="15.75" customHeight="1">
      <c r="A472" s="76" t="n"/>
      <c r="B472" s="77" t="n"/>
      <c r="C472" s="78" t="n"/>
      <c r="E472" s="78" t="n"/>
      <c r="F472" s="78" t="n"/>
      <c r="G472" s="77" t="n"/>
      <c r="H472" s="77" t="n"/>
      <c r="I472" s="79" t="n"/>
      <c r="J472" s="110" t="n"/>
      <c r="K472" s="111" t="n"/>
      <c r="L472" s="112" t="n"/>
      <c r="M472" s="83" t="n"/>
      <c r="N472" s="84" t="n"/>
    </row>
    <row r="473" ht="15.75" customHeight="1">
      <c r="A473" s="76" t="n"/>
      <c r="B473" s="77" t="n"/>
      <c r="C473" s="78" t="n"/>
      <c r="E473" s="78" t="n"/>
      <c r="F473" s="78" t="n"/>
      <c r="G473" s="77" t="n"/>
      <c r="H473" s="77" t="n"/>
      <c r="I473" s="79" t="n"/>
      <c r="J473" s="110" t="n"/>
      <c r="K473" s="111" t="n"/>
      <c r="L473" s="112" t="n"/>
      <c r="M473" s="83" t="n"/>
      <c r="N473" s="84" t="n"/>
    </row>
    <row r="474" ht="15.75" customHeight="1">
      <c r="A474" s="76" t="n"/>
      <c r="B474" s="77" t="n"/>
      <c r="C474" s="78" t="n"/>
      <c r="E474" s="78" t="n"/>
      <c r="F474" s="78" t="n"/>
      <c r="G474" s="77" t="n"/>
      <c r="H474" s="77" t="n"/>
      <c r="I474" s="79" t="n"/>
      <c r="J474" s="110" t="n"/>
      <c r="K474" s="111" t="n"/>
      <c r="L474" s="112" t="n"/>
      <c r="M474" s="83" t="n"/>
      <c r="N474" s="84" t="n"/>
    </row>
    <row r="475" ht="15.75" customHeight="1">
      <c r="A475" s="76" t="n"/>
      <c r="B475" s="77" t="n"/>
      <c r="C475" s="78" t="n"/>
      <c r="E475" s="78" t="n"/>
      <c r="F475" s="78" t="n"/>
      <c r="G475" s="77" t="n"/>
      <c r="H475" s="77" t="n"/>
      <c r="I475" s="79" t="n"/>
      <c r="J475" s="110" t="n"/>
      <c r="K475" s="111" t="n"/>
      <c r="L475" s="112" t="n"/>
      <c r="M475" s="83" t="n"/>
      <c r="N475" s="84" t="n"/>
    </row>
    <row r="476" ht="15.75" customHeight="1">
      <c r="A476" s="76" t="n"/>
      <c r="B476" s="77" t="n"/>
      <c r="C476" s="78" t="n"/>
      <c r="E476" s="78" t="n"/>
      <c r="F476" s="78" t="n"/>
      <c r="G476" s="77" t="n"/>
      <c r="H476" s="77" t="n"/>
      <c r="I476" s="79" t="n"/>
      <c r="J476" s="110" t="n"/>
      <c r="K476" s="111" t="n"/>
      <c r="L476" s="112" t="n"/>
      <c r="M476" s="83" t="n"/>
      <c r="N476" s="84" t="n"/>
    </row>
    <row r="477" ht="15.75" customHeight="1">
      <c r="A477" s="76" t="n"/>
      <c r="B477" s="77" t="n"/>
      <c r="C477" s="78" t="n"/>
      <c r="E477" s="78" t="n"/>
      <c r="F477" s="78" t="n"/>
      <c r="G477" s="77" t="n"/>
      <c r="H477" s="77" t="n"/>
      <c r="I477" s="79" t="n"/>
      <c r="J477" s="110" t="n"/>
      <c r="K477" s="111" t="n"/>
      <c r="L477" s="112" t="n"/>
      <c r="M477" s="83" t="n"/>
      <c r="N477" s="84" t="n"/>
    </row>
    <row r="478" ht="15.75" customHeight="1">
      <c r="A478" s="76" t="n"/>
      <c r="B478" s="77" t="n"/>
      <c r="C478" s="78" t="n"/>
      <c r="E478" s="78" t="n"/>
      <c r="F478" s="78" t="n"/>
      <c r="G478" s="77" t="n"/>
      <c r="H478" s="77" t="n"/>
      <c r="I478" s="79" t="n"/>
      <c r="J478" s="110" t="n"/>
      <c r="K478" s="111" t="n"/>
      <c r="L478" s="112" t="n"/>
      <c r="M478" s="83" t="n"/>
      <c r="N478" s="84" t="n"/>
    </row>
    <row r="479" ht="15.75" customHeight="1">
      <c r="A479" s="76" t="n"/>
      <c r="B479" s="77" t="n"/>
      <c r="C479" s="78" t="n"/>
      <c r="E479" s="78" t="n"/>
      <c r="F479" s="78" t="n"/>
      <c r="G479" s="77" t="n"/>
      <c r="H479" s="77" t="n"/>
      <c r="I479" s="79" t="n"/>
      <c r="J479" s="110" t="n"/>
      <c r="K479" s="111" t="n"/>
      <c r="L479" s="112" t="n"/>
      <c r="M479" s="83" t="n"/>
      <c r="N479" s="84" t="n"/>
    </row>
    <row r="480" ht="15.75" customHeight="1">
      <c r="A480" s="76" t="n"/>
      <c r="B480" s="77" t="n"/>
      <c r="C480" s="78" t="n"/>
      <c r="E480" s="78" t="n"/>
      <c r="F480" s="78" t="n"/>
      <c r="G480" s="77" t="n"/>
      <c r="H480" s="77" t="n"/>
      <c r="I480" s="79" t="n"/>
      <c r="J480" s="110" t="n"/>
      <c r="K480" s="111" t="n"/>
      <c r="L480" s="112" t="n"/>
      <c r="M480" s="83" t="n"/>
      <c r="N480" s="84" t="n"/>
    </row>
    <row r="481" ht="15.75" customHeight="1">
      <c r="A481" s="76" t="n"/>
      <c r="B481" s="77" t="n"/>
      <c r="C481" s="78" t="n"/>
      <c r="E481" s="78" t="n"/>
      <c r="F481" s="78" t="n"/>
      <c r="G481" s="77" t="n"/>
      <c r="H481" s="77" t="n"/>
      <c r="I481" s="79" t="n"/>
      <c r="J481" s="110" t="n"/>
      <c r="K481" s="111" t="n"/>
      <c r="L481" s="112" t="n"/>
      <c r="M481" s="83" t="n"/>
      <c r="N481" s="84" t="n"/>
    </row>
    <row r="482" ht="15.75" customHeight="1">
      <c r="A482" s="76" t="n"/>
      <c r="B482" s="77" t="n"/>
      <c r="C482" s="78" t="n"/>
      <c r="E482" s="78" t="n"/>
      <c r="F482" s="78" t="n"/>
      <c r="G482" s="77" t="n"/>
      <c r="H482" s="77" t="n"/>
      <c r="I482" s="79" t="n"/>
      <c r="J482" s="110" t="n"/>
      <c r="K482" s="111" t="n"/>
      <c r="L482" s="112" t="n"/>
      <c r="M482" s="83" t="n"/>
      <c r="N482" s="84" t="n"/>
    </row>
    <row r="483" ht="15.75" customHeight="1">
      <c r="A483" s="76" t="n"/>
      <c r="B483" s="77" t="n"/>
      <c r="C483" s="78" t="n"/>
      <c r="E483" s="78" t="n"/>
      <c r="F483" s="78" t="n"/>
      <c r="G483" s="77" t="n"/>
      <c r="H483" s="77" t="n"/>
      <c r="I483" s="79" t="n"/>
      <c r="J483" s="110" t="n"/>
      <c r="K483" s="111" t="n"/>
      <c r="L483" s="112" t="n"/>
      <c r="M483" s="83" t="n"/>
      <c r="N483" s="84" t="n"/>
    </row>
    <row r="484" ht="15.75" customHeight="1">
      <c r="A484" s="76" t="n"/>
      <c r="B484" s="77" t="n"/>
      <c r="C484" s="78" t="n"/>
      <c r="E484" s="78" t="n"/>
      <c r="F484" s="78" t="n"/>
      <c r="G484" s="77" t="n"/>
      <c r="H484" s="77" t="n"/>
      <c r="I484" s="79" t="n"/>
      <c r="J484" s="110" t="n"/>
      <c r="K484" s="111" t="n"/>
      <c r="L484" s="112" t="n"/>
      <c r="M484" s="83" t="n"/>
      <c r="N484" s="84" t="n"/>
    </row>
    <row r="485" ht="15.75" customHeight="1">
      <c r="A485" s="76" t="n"/>
      <c r="B485" s="77" t="n"/>
      <c r="C485" s="78" t="n"/>
      <c r="E485" s="78" t="n"/>
      <c r="F485" s="78" t="n"/>
      <c r="G485" s="77" t="n"/>
      <c r="H485" s="77" t="n"/>
      <c r="I485" s="79" t="n"/>
      <c r="J485" s="110" t="n"/>
      <c r="K485" s="111" t="n"/>
      <c r="L485" s="112" t="n"/>
      <c r="M485" s="83" t="n"/>
      <c r="N485" s="84" t="n"/>
    </row>
    <row r="486" ht="15.75" customHeight="1">
      <c r="A486" s="76" t="n"/>
      <c r="B486" s="77" t="n"/>
      <c r="C486" s="78" t="n"/>
      <c r="E486" s="78" t="n"/>
      <c r="F486" s="78" t="n"/>
      <c r="G486" s="77" t="n"/>
      <c r="H486" s="77" t="n"/>
      <c r="I486" s="79" t="n"/>
      <c r="J486" s="110" t="n"/>
      <c r="K486" s="111" t="n"/>
      <c r="L486" s="112" t="n"/>
      <c r="M486" s="83" t="n"/>
      <c r="N486" s="84" t="n"/>
    </row>
    <row r="487" ht="15.75" customHeight="1">
      <c r="A487" s="76" t="n"/>
      <c r="B487" s="77" t="n"/>
      <c r="C487" s="78" t="n"/>
      <c r="E487" s="78" t="n"/>
      <c r="F487" s="78" t="n"/>
      <c r="G487" s="77" t="n"/>
      <c r="H487" s="77" t="n"/>
      <c r="I487" s="79" t="n"/>
      <c r="J487" s="110" t="n"/>
      <c r="K487" s="111" t="n"/>
      <c r="L487" s="112" t="n"/>
      <c r="M487" s="83" t="n"/>
      <c r="N487" s="84" t="n"/>
    </row>
    <row r="488" ht="15.75" customHeight="1">
      <c r="A488" s="76" t="n"/>
      <c r="B488" s="77" t="n"/>
      <c r="C488" s="78" t="n"/>
      <c r="E488" s="78" t="n"/>
      <c r="F488" s="78" t="n"/>
      <c r="G488" s="77" t="n"/>
      <c r="H488" s="77" t="n"/>
      <c r="I488" s="79" t="n"/>
      <c r="J488" s="110" t="n"/>
      <c r="K488" s="111" t="n"/>
      <c r="L488" s="112" t="n"/>
      <c r="M488" s="83" t="n"/>
      <c r="N488" s="84" t="n"/>
    </row>
    <row r="489" ht="15.75" customHeight="1">
      <c r="A489" s="76" t="n"/>
      <c r="B489" s="77" t="n"/>
      <c r="C489" s="78" t="n"/>
      <c r="E489" s="78" t="n"/>
      <c r="F489" s="78" t="n"/>
      <c r="G489" s="77" t="n"/>
      <c r="H489" s="77" t="n"/>
      <c r="I489" s="79" t="n"/>
      <c r="J489" s="110" t="n"/>
      <c r="K489" s="111" t="n"/>
      <c r="L489" s="112" t="n"/>
      <c r="M489" s="83" t="n"/>
      <c r="N489" s="84" t="n"/>
    </row>
    <row r="490" ht="15.75" customHeight="1">
      <c r="A490" s="76" t="n"/>
      <c r="B490" s="77" t="n"/>
      <c r="C490" s="78" t="n"/>
      <c r="E490" s="78" t="n"/>
      <c r="F490" s="78" t="n"/>
      <c r="G490" s="77" t="n"/>
      <c r="H490" s="77" t="n"/>
      <c r="I490" s="79" t="n"/>
      <c r="J490" s="110" t="n"/>
      <c r="K490" s="111" t="n"/>
      <c r="L490" s="112" t="n"/>
      <c r="M490" s="83" t="n"/>
      <c r="N490" s="84" t="n"/>
    </row>
    <row r="491" ht="15.75" customHeight="1">
      <c r="A491" s="76" t="n"/>
      <c r="B491" s="77" t="n"/>
      <c r="C491" s="78" t="n"/>
      <c r="E491" s="78" t="n"/>
      <c r="F491" s="78" t="n"/>
      <c r="G491" s="77" t="n"/>
      <c r="H491" s="77" t="n"/>
      <c r="I491" s="79" t="n"/>
      <c r="J491" s="110" t="n"/>
      <c r="K491" s="111" t="n"/>
      <c r="L491" s="112" t="n"/>
      <c r="M491" s="83" t="n"/>
      <c r="N491" s="84" t="n"/>
    </row>
    <row r="492" ht="15.75" customHeight="1">
      <c r="A492" s="76" t="n"/>
      <c r="B492" s="77" t="n"/>
      <c r="C492" s="78" t="n"/>
      <c r="E492" s="78" t="n"/>
      <c r="F492" s="78" t="n"/>
      <c r="G492" s="77" t="n"/>
      <c r="H492" s="77" t="n"/>
      <c r="I492" s="79" t="n"/>
      <c r="J492" s="110" t="n"/>
      <c r="K492" s="111" t="n"/>
      <c r="L492" s="112" t="n"/>
      <c r="M492" s="83" t="n"/>
      <c r="N492" s="84" t="n"/>
    </row>
    <row r="493" ht="15.75" customHeight="1">
      <c r="A493" s="76" t="n"/>
      <c r="B493" s="77" t="n"/>
      <c r="C493" s="78" t="n"/>
      <c r="E493" s="78" t="n"/>
      <c r="F493" s="78" t="n"/>
      <c r="G493" s="77" t="n"/>
      <c r="H493" s="77" t="n"/>
      <c r="I493" s="79" t="n"/>
      <c r="J493" s="110" t="n"/>
      <c r="K493" s="111" t="n"/>
      <c r="L493" s="112" t="n"/>
      <c r="M493" s="83" t="n"/>
      <c r="N493" s="84" t="n"/>
    </row>
    <row r="494" ht="15.75" customHeight="1">
      <c r="A494" s="76" t="n"/>
      <c r="B494" s="77" t="n"/>
      <c r="C494" s="78" t="n"/>
      <c r="E494" s="78" t="n"/>
      <c r="F494" s="78" t="n"/>
      <c r="G494" s="77" t="n"/>
      <c r="H494" s="77" t="n"/>
      <c r="I494" s="79" t="n"/>
      <c r="J494" s="110" t="n"/>
      <c r="K494" s="111" t="n"/>
      <c r="L494" s="112" t="n"/>
      <c r="M494" s="83" t="n"/>
      <c r="N494" s="84" t="n"/>
    </row>
    <row r="495" ht="15.75" customHeight="1">
      <c r="A495" s="76" t="n"/>
      <c r="B495" s="77" t="n"/>
      <c r="C495" s="78" t="n"/>
      <c r="E495" s="78" t="n"/>
      <c r="F495" s="78" t="n"/>
      <c r="G495" s="77" t="n"/>
      <c r="H495" s="77" t="n"/>
      <c r="I495" s="79" t="n"/>
      <c r="J495" s="110" t="n"/>
      <c r="K495" s="111" t="n"/>
      <c r="L495" s="112" t="n"/>
      <c r="M495" s="83" t="n"/>
      <c r="N495" s="84" t="n"/>
    </row>
    <row r="496" ht="15.75" customHeight="1">
      <c r="A496" s="76" t="n"/>
      <c r="B496" s="77" t="n"/>
      <c r="C496" s="78" t="n"/>
      <c r="E496" s="78" t="n"/>
      <c r="F496" s="78" t="n"/>
      <c r="G496" s="77" t="n"/>
      <c r="H496" s="77" t="n"/>
      <c r="I496" s="79" t="n"/>
      <c r="J496" s="110" t="n"/>
      <c r="K496" s="111" t="n"/>
      <c r="L496" s="112" t="n"/>
      <c r="M496" s="83" t="n"/>
      <c r="N496" s="84" t="n"/>
    </row>
    <row r="497" ht="15.75" customHeight="1">
      <c r="A497" s="76" t="n"/>
      <c r="B497" s="77" t="n"/>
      <c r="C497" s="78" t="n"/>
      <c r="E497" s="78" t="n"/>
      <c r="F497" s="78" t="n"/>
      <c r="G497" s="77" t="n"/>
      <c r="H497" s="77" t="n"/>
      <c r="I497" s="79" t="n"/>
      <c r="J497" s="110" t="n"/>
      <c r="K497" s="111" t="n"/>
      <c r="L497" s="112" t="n"/>
      <c r="M497" s="83" t="n"/>
      <c r="N497" s="84" t="n"/>
    </row>
    <row r="498" ht="15.75" customHeight="1">
      <c r="A498" s="76" t="n"/>
      <c r="B498" s="77" t="n"/>
      <c r="C498" s="78" t="n"/>
      <c r="E498" s="78" t="n"/>
      <c r="F498" s="78" t="n"/>
      <c r="G498" s="77" t="n"/>
      <c r="H498" s="77" t="n"/>
      <c r="I498" s="79" t="n"/>
      <c r="J498" s="110" t="n"/>
      <c r="K498" s="111" t="n"/>
      <c r="L498" s="112" t="n"/>
      <c r="M498" s="83" t="n"/>
      <c r="N498" s="84" t="n"/>
    </row>
    <row r="499" ht="15.75" customHeight="1">
      <c r="A499" s="76" t="n"/>
      <c r="B499" s="77" t="n"/>
      <c r="C499" s="78" t="n"/>
      <c r="E499" s="78" t="n"/>
      <c r="F499" s="78" t="n"/>
      <c r="G499" s="77" t="n"/>
      <c r="H499" s="77" t="n"/>
      <c r="I499" s="79" t="n"/>
      <c r="J499" s="110" t="n"/>
      <c r="K499" s="111" t="n"/>
      <c r="L499" s="112" t="n"/>
      <c r="M499" s="83" t="n"/>
      <c r="N499" s="84" t="n"/>
    </row>
    <row r="500" ht="15.75" customHeight="1">
      <c r="A500" s="76" t="n"/>
      <c r="B500" s="77" t="n"/>
      <c r="C500" s="78" t="n"/>
      <c r="E500" s="78" t="n"/>
      <c r="F500" s="78" t="n"/>
      <c r="G500" s="77" t="n"/>
      <c r="H500" s="77" t="n"/>
      <c r="I500" s="79" t="n"/>
      <c r="J500" s="110" t="n"/>
      <c r="K500" s="111" t="n"/>
      <c r="L500" s="112" t="n"/>
      <c r="M500" s="83" t="n"/>
      <c r="N500" s="84" t="n"/>
    </row>
    <row r="501" ht="15.75" customHeight="1">
      <c r="A501" s="76" t="n"/>
      <c r="B501" s="77" t="n"/>
      <c r="C501" s="78" t="n"/>
      <c r="E501" s="78" t="n"/>
      <c r="F501" s="78" t="n"/>
      <c r="G501" s="77" t="n"/>
      <c r="H501" s="77" t="n"/>
      <c r="I501" s="79" t="n"/>
      <c r="J501" s="110" t="n"/>
      <c r="K501" s="111" t="n"/>
      <c r="L501" s="112" t="n"/>
      <c r="M501" s="83" t="n"/>
      <c r="N501" s="84" t="n"/>
    </row>
    <row r="502" ht="15.75" customHeight="1">
      <c r="A502" s="76" t="n"/>
      <c r="B502" s="77" t="n"/>
      <c r="C502" s="78" t="n"/>
      <c r="E502" s="78" t="n"/>
      <c r="F502" s="78" t="n"/>
      <c r="G502" s="77" t="n"/>
      <c r="H502" s="77" t="n"/>
      <c r="I502" s="79" t="n"/>
      <c r="J502" s="110" t="n"/>
      <c r="K502" s="111" t="n"/>
      <c r="L502" s="112" t="n"/>
      <c r="M502" s="83" t="n"/>
      <c r="N502" s="84" t="n"/>
    </row>
    <row r="503" ht="15.75" customHeight="1">
      <c r="A503" s="76" t="n"/>
      <c r="B503" s="77" t="n"/>
      <c r="C503" s="78" t="n"/>
      <c r="E503" s="78" t="n"/>
      <c r="F503" s="78" t="n"/>
      <c r="G503" s="77" t="n"/>
      <c r="H503" s="77" t="n"/>
      <c r="I503" s="79" t="n"/>
      <c r="J503" s="110" t="n"/>
      <c r="K503" s="111" t="n"/>
      <c r="L503" s="112" t="n"/>
      <c r="M503" s="83" t="n"/>
      <c r="N503" s="84" t="n"/>
    </row>
    <row r="504" ht="15.75" customHeight="1">
      <c r="A504" s="76" t="n"/>
      <c r="B504" s="77" t="n"/>
      <c r="C504" s="78" t="n"/>
      <c r="E504" s="78" t="n"/>
      <c r="F504" s="78" t="n"/>
      <c r="G504" s="77" t="n"/>
      <c r="H504" s="77" t="n"/>
      <c r="I504" s="79" t="n"/>
      <c r="J504" s="110" t="n"/>
      <c r="K504" s="111" t="n"/>
      <c r="L504" s="112" t="n"/>
      <c r="M504" s="83" t="n"/>
      <c r="N504" s="84" t="n"/>
    </row>
    <row r="505" ht="15.75" customHeight="1">
      <c r="A505" s="76" t="n"/>
      <c r="B505" s="77" t="n"/>
      <c r="C505" s="78" t="n"/>
      <c r="E505" s="78" t="n"/>
      <c r="F505" s="78" t="n"/>
      <c r="G505" s="77" t="n"/>
      <c r="H505" s="77" t="n"/>
      <c r="I505" s="79" t="n"/>
      <c r="J505" s="110" t="n"/>
      <c r="K505" s="111" t="n"/>
      <c r="L505" s="112" t="n"/>
      <c r="M505" s="83" t="n"/>
      <c r="N505" s="84" t="n"/>
    </row>
    <row r="506" ht="15.75" customHeight="1">
      <c r="A506" s="76" t="n"/>
      <c r="B506" s="77" t="n"/>
      <c r="C506" s="78" t="n"/>
      <c r="E506" s="78" t="n"/>
      <c r="F506" s="78" t="n"/>
      <c r="G506" s="77" t="n"/>
      <c r="H506" s="77" t="n"/>
      <c r="I506" s="79" t="n"/>
      <c r="J506" s="110" t="n"/>
      <c r="K506" s="111" t="n"/>
      <c r="L506" s="112" t="n"/>
      <c r="M506" s="83" t="n"/>
      <c r="N506" s="84" t="n"/>
    </row>
    <row r="507" ht="15.75" customHeight="1">
      <c r="A507" s="76" t="n"/>
      <c r="B507" s="77" t="n"/>
      <c r="C507" s="78" t="n"/>
      <c r="E507" s="78" t="n"/>
      <c r="F507" s="78" t="n"/>
      <c r="G507" s="77" t="n"/>
      <c r="H507" s="77" t="n"/>
      <c r="I507" s="79" t="n"/>
      <c r="J507" s="110" t="n"/>
      <c r="K507" s="111" t="n"/>
      <c r="L507" s="112" t="n"/>
      <c r="M507" s="83" t="n"/>
      <c r="N507" s="84" t="n"/>
    </row>
    <row r="508" ht="15.75" customHeight="1">
      <c r="A508" s="76" t="n"/>
      <c r="B508" s="77" t="n"/>
      <c r="C508" s="78" t="n"/>
      <c r="E508" s="78" t="n"/>
      <c r="F508" s="78" t="n"/>
      <c r="G508" s="77" t="n"/>
      <c r="H508" s="77" t="n"/>
      <c r="I508" s="79" t="n"/>
      <c r="J508" s="110" t="n"/>
      <c r="K508" s="111" t="n"/>
      <c r="L508" s="112" t="n"/>
      <c r="M508" s="83" t="n"/>
      <c r="N508" s="84" t="n"/>
    </row>
    <row r="509" ht="15.75" customHeight="1">
      <c r="A509" s="76" t="n"/>
      <c r="B509" s="77" t="n"/>
      <c r="C509" s="78" t="n"/>
      <c r="E509" s="78" t="n"/>
      <c r="F509" s="78" t="n"/>
      <c r="G509" s="77" t="n"/>
      <c r="H509" s="77" t="n"/>
      <c r="I509" s="79" t="n"/>
      <c r="J509" s="110" t="n"/>
      <c r="K509" s="111" t="n"/>
      <c r="L509" s="112" t="n"/>
      <c r="M509" s="83" t="n"/>
      <c r="N509" s="84" t="n"/>
    </row>
    <row r="510" ht="15.75" customHeight="1">
      <c r="A510" s="76" t="n"/>
      <c r="B510" s="77" t="n"/>
      <c r="C510" s="78" t="n"/>
      <c r="E510" s="78" t="n"/>
      <c r="F510" s="78" t="n"/>
      <c r="G510" s="77" t="n"/>
      <c r="H510" s="77" t="n"/>
      <c r="I510" s="79" t="n"/>
      <c r="J510" s="110" t="n"/>
      <c r="K510" s="111" t="n"/>
      <c r="L510" s="112" t="n"/>
      <c r="M510" s="83" t="n"/>
      <c r="N510" s="84" t="n"/>
    </row>
    <row r="511" ht="15.75" customHeight="1">
      <c r="A511" s="76" t="n"/>
      <c r="B511" s="77" t="n"/>
      <c r="C511" s="78" t="n"/>
      <c r="E511" s="78" t="n"/>
      <c r="F511" s="78" t="n"/>
      <c r="G511" s="77" t="n"/>
      <c r="H511" s="77" t="n"/>
      <c r="I511" s="79" t="n"/>
      <c r="J511" s="110" t="n"/>
      <c r="K511" s="111" t="n"/>
      <c r="L511" s="112" t="n"/>
      <c r="M511" s="83" t="n"/>
      <c r="N511" s="84" t="n"/>
    </row>
    <row r="512" ht="15.75" customHeight="1">
      <c r="A512" s="76" t="n"/>
      <c r="B512" s="77" t="n"/>
      <c r="C512" s="78" t="n"/>
      <c r="E512" s="78" t="n"/>
      <c r="F512" s="78" t="n"/>
      <c r="G512" s="77" t="n"/>
      <c r="H512" s="77" t="n"/>
      <c r="I512" s="79" t="n"/>
      <c r="J512" s="110" t="n"/>
      <c r="K512" s="111" t="n"/>
      <c r="L512" s="112" t="n"/>
      <c r="M512" s="83" t="n"/>
      <c r="N512" s="84" t="n"/>
    </row>
    <row r="513" ht="15.75" customHeight="1">
      <c r="A513" s="76" t="n"/>
      <c r="B513" s="77" t="n"/>
      <c r="C513" s="78" t="n"/>
      <c r="E513" s="78" t="n"/>
      <c r="F513" s="78" t="n"/>
      <c r="G513" s="77" t="n"/>
      <c r="H513" s="77" t="n"/>
      <c r="I513" s="79" t="n"/>
      <c r="J513" s="110" t="n"/>
      <c r="K513" s="111" t="n"/>
      <c r="L513" s="112" t="n"/>
      <c r="M513" s="83" t="n"/>
      <c r="N513" s="84" t="n"/>
    </row>
    <row r="514" ht="15.75" customHeight="1">
      <c r="A514" s="76" t="n"/>
      <c r="B514" s="77" t="n"/>
      <c r="C514" s="78" t="n"/>
      <c r="E514" s="78" t="n"/>
      <c r="F514" s="78" t="n"/>
      <c r="G514" s="77" t="n"/>
      <c r="H514" s="77" t="n"/>
      <c r="I514" s="79" t="n"/>
      <c r="J514" s="110" t="n"/>
      <c r="K514" s="111" t="n"/>
      <c r="L514" s="112" t="n"/>
      <c r="M514" s="83" t="n"/>
      <c r="N514" s="84" t="n"/>
    </row>
    <row r="515" ht="15.75" customHeight="1">
      <c r="A515" s="76" t="n"/>
      <c r="B515" s="77" t="n"/>
      <c r="C515" s="78" t="n"/>
      <c r="E515" s="78" t="n"/>
      <c r="F515" s="78" t="n"/>
      <c r="G515" s="77" t="n"/>
      <c r="H515" s="77" t="n"/>
      <c r="I515" s="79" t="n"/>
      <c r="J515" s="110" t="n"/>
      <c r="K515" s="111" t="n"/>
      <c r="L515" s="112" t="n"/>
      <c r="M515" s="83" t="n"/>
      <c r="N515" s="84" t="n"/>
    </row>
    <row r="516" ht="15.75" customHeight="1">
      <c r="A516" s="76" t="n"/>
      <c r="B516" s="77" t="n"/>
      <c r="C516" s="78" t="n"/>
      <c r="E516" s="78" t="n"/>
      <c r="F516" s="78" t="n"/>
      <c r="G516" s="77" t="n"/>
      <c r="H516" s="77" t="n"/>
      <c r="I516" s="79" t="n"/>
      <c r="J516" s="110" t="n"/>
      <c r="K516" s="111" t="n"/>
      <c r="L516" s="112" t="n"/>
      <c r="M516" s="83" t="n"/>
      <c r="N516" s="84" t="n"/>
    </row>
    <row r="517" ht="15.75" customHeight="1">
      <c r="A517" s="76" t="n"/>
      <c r="B517" s="77" t="n"/>
      <c r="C517" s="78" t="n"/>
      <c r="E517" s="78" t="n"/>
      <c r="F517" s="78" t="n"/>
      <c r="G517" s="77" t="n"/>
      <c r="H517" s="77" t="n"/>
      <c r="I517" s="79" t="n"/>
      <c r="J517" s="110" t="n"/>
      <c r="K517" s="111" t="n"/>
      <c r="L517" s="112" t="n"/>
      <c r="M517" s="83" t="n"/>
      <c r="N517" s="84" t="n"/>
    </row>
    <row r="518" ht="15.75" customHeight="1">
      <c r="A518" s="76" t="n"/>
      <c r="B518" s="77" t="n"/>
      <c r="C518" s="78" t="n"/>
      <c r="E518" s="78" t="n"/>
      <c r="F518" s="78" t="n"/>
      <c r="G518" s="77" t="n"/>
      <c r="H518" s="77" t="n"/>
      <c r="I518" s="79" t="n"/>
      <c r="J518" s="110" t="n"/>
      <c r="K518" s="111" t="n"/>
      <c r="L518" s="112" t="n"/>
      <c r="M518" s="83" t="n"/>
      <c r="N518" s="84" t="n"/>
    </row>
    <row r="519" ht="15.75" customHeight="1">
      <c r="A519" s="76" t="n"/>
      <c r="B519" s="77" t="n"/>
      <c r="C519" s="78" t="n"/>
      <c r="E519" s="78" t="n"/>
      <c r="F519" s="78" t="n"/>
      <c r="G519" s="77" t="n"/>
      <c r="H519" s="77" t="n"/>
      <c r="I519" s="79" t="n"/>
      <c r="J519" s="110" t="n"/>
      <c r="K519" s="111" t="n"/>
      <c r="L519" s="112" t="n"/>
      <c r="M519" s="83" t="n"/>
      <c r="N519" s="84" t="n"/>
    </row>
    <row r="520" ht="15.75" customHeight="1">
      <c r="A520" s="76" t="n"/>
      <c r="B520" s="77" t="n"/>
      <c r="C520" s="78" t="n"/>
      <c r="E520" s="78" t="n"/>
      <c r="F520" s="78" t="n"/>
      <c r="G520" s="77" t="n"/>
      <c r="H520" s="77" t="n"/>
      <c r="I520" s="79" t="n"/>
      <c r="J520" s="110" t="n"/>
      <c r="K520" s="111" t="n"/>
      <c r="L520" s="112" t="n"/>
      <c r="M520" s="83" t="n"/>
      <c r="N520" s="84" t="n"/>
    </row>
    <row r="521" ht="15.75" customHeight="1">
      <c r="A521" s="76" t="n"/>
      <c r="B521" s="77" t="n"/>
      <c r="C521" s="78" t="n"/>
      <c r="E521" s="78" t="n"/>
      <c r="F521" s="78" t="n"/>
      <c r="G521" s="77" t="n"/>
      <c r="H521" s="77" t="n"/>
      <c r="I521" s="79" t="n"/>
      <c r="J521" s="110" t="n"/>
      <c r="K521" s="111" t="n"/>
      <c r="L521" s="112" t="n"/>
      <c r="M521" s="83" t="n"/>
      <c r="N521" s="84" t="n"/>
    </row>
    <row r="522" ht="15.75" customHeight="1">
      <c r="A522" s="76" t="n"/>
      <c r="B522" s="77" t="n"/>
      <c r="C522" s="78" t="n"/>
      <c r="E522" s="78" t="n"/>
      <c r="F522" s="78" t="n"/>
      <c r="G522" s="77" t="n"/>
      <c r="H522" s="77" t="n"/>
      <c r="I522" s="79" t="n"/>
      <c r="J522" s="110" t="n"/>
      <c r="K522" s="111" t="n"/>
      <c r="L522" s="112" t="n"/>
      <c r="M522" s="83" t="n"/>
      <c r="N522" s="84" t="n"/>
    </row>
    <row r="523" ht="15.75" customHeight="1">
      <c r="A523" s="76" t="n"/>
      <c r="B523" s="77" t="n"/>
      <c r="C523" s="78" t="n"/>
      <c r="E523" s="78" t="n"/>
      <c r="F523" s="78" t="n"/>
      <c r="G523" s="77" t="n"/>
      <c r="H523" s="77" t="n"/>
      <c r="I523" s="79" t="n"/>
      <c r="J523" s="110" t="n"/>
      <c r="K523" s="111" t="n"/>
      <c r="L523" s="112" t="n"/>
      <c r="M523" s="83" t="n"/>
      <c r="N523" s="84" t="n"/>
    </row>
    <row r="524" ht="15.75" customHeight="1">
      <c r="A524" s="76" t="n"/>
      <c r="B524" s="77" t="n"/>
      <c r="C524" s="78" t="n"/>
      <c r="E524" s="78" t="n"/>
      <c r="F524" s="78" t="n"/>
      <c r="G524" s="77" t="n"/>
      <c r="H524" s="77" t="n"/>
      <c r="I524" s="79" t="n"/>
      <c r="J524" s="110" t="n"/>
      <c r="K524" s="111" t="n"/>
      <c r="L524" s="112" t="n"/>
      <c r="M524" s="83" t="n"/>
      <c r="N524" s="84" t="n"/>
    </row>
    <row r="525" ht="15.75" customHeight="1">
      <c r="A525" s="76" t="n"/>
      <c r="B525" s="77" t="n"/>
      <c r="C525" s="78" t="n"/>
      <c r="E525" s="78" t="n"/>
      <c r="F525" s="78" t="n"/>
      <c r="G525" s="77" t="n"/>
      <c r="H525" s="77" t="n"/>
      <c r="I525" s="79" t="n"/>
      <c r="J525" s="110" t="n"/>
      <c r="K525" s="111" t="n"/>
      <c r="L525" s="112" t="n"/>
      <c r="M525" s="83" t="n"/>
      <c r="N525" s="84" t="n"/>
    </row>
    <row r="526" ht="15.75" customHeight="1">
      <c r="A526" s="76" t="n"/>
      <c r="B526" s="77" t="n"/>
      <c r="C526" s="78" t="n"/>
      <c r="E526" s="78" t="n"/>
      <c r="F526" s="78" t="n"/>
      <c r="G526" s="77" t="n"/>
      <c r="H526" s="77" t="n"/>
      <c r="I526" s="79" t="n"/>
      <c r="J526" s="110" t="n"/>
      <c r="K526" s="111" t="n"/>
      <c r="L526" s="112" t="n"/>
      <c r="M526" s="83" t="n"/>
      <c r="N526" s="84" t="n"/>
    </row>
    <row r="527" ht="15.75" customHeight="1">
      <c r="A527" s="76" t="n"/>
      <c r="B527" s="77" t="n"/>
      <c r="C527" s="78" t="n"/>
      <c r="E527" s="78" t="n"/>
      <c r="F527" s="78" t="n"/>
      <c r="G527" s="77" t="n"/>
      <c r="H527" s="77" t="n"/>
      <c r="I527" s="79" t="n"/>
      <c r="J527" s="110" t="n"/>
      <c r="K527" s="111" t="n"/>
      <c r="L527" s="112" t="n"/>
      <c r="M527" s="83" t="n"/>
      <c r="N527" s="84" t="n"/>
    </row>
    <row r="528" ht="15.75" customHeight="1">
      <c r="A528" s="76" t="n"/>
      <c r="B528" s="77" t="n"/>
      <c r="C528" s="78" t="n"/>
      <c r="E528" s="78" t="n"/>
      <c r="F528" s="78" t="n"/>
      <c r="G528" s="77" t="n"/>
      <c r="H528" s="77" t="n"/>
      <c r="I528" s="79" t="n"/>
      <c r="J528" s="110" t="n"/>
      <c r="K528" s="111" t="n"/>
      <c r="L528" s="112" t="n"/>
      <c r="M528" s="83" t="n"/>
      <c r="N528" s="84" t="n"/>
    </row>
    <row r="529" ht="15.75" customHeight="1">
      <c r="A529" s="76" t="n"/>
      <c r="B529" s="77" t="n"/>
      <c r="C529" s="78" t="n"/>
      <c r="E529" s="78" t="n"/>
      <c r="F529" s="78" t="n"/>
      <c r="G529" s="77" t="n"/>
      <c r="H529" s="77" t="n"/>
      <c r="I529" s="79" t="n"/>
      <c r="J529" s="110" t="n"/>
      <c r="K529" s="111" t="n"/>
      <c r="L529" s="112" t="n"/>
      <c r="M529" s="83" t="n"/>
      <c r="N529" s="84" t="n"/>
    </row>
    <row r="530" ht="15.75" customHeight="1">
      <c r="A530" s="76" t="n"/>
      <c r="B530" s="77" t="n"/>
      <c r="C530" s="78" t="n"/>
      <c r="E530" s="78" t="n"/>
      <c r="F530" s="78" t="n"/>
      <c r="G530" s="77" t="n"/>
      <c r="H530" s="77" t="n"/>
      <c r="I530" s="79" t="n"/>
      <c r="J530" s="110" t="n"/>
      <c r="K530" s="111" t="n"/>
      <c r="L530" s="112" t="n"/>
      <c r="M530" s="83" t="n"/>
      <c r="N530" s="84" t="n"/>
    </row>
    <row r="531" ht="15.75" customHeight="1">
      <c r="A531" s="76" t="n"/>
      <c r="B531" s="77" t="n"/>
      <c r="C531" s="78" t="n"/>
      <c r="E531" s="78" t="n"/>
      <c r="F531" s="78" t="n"/>
      <c r="G531" s="77" t="n"/>
      <c r="H531" s="77" t="n"/>
      <c r="I531" s="79" t="n"/>
      <c r="J531" s="110" t="n"/>
      <c r="K531" s="111" t="n"/>
      <c r="L531" s="112" t="n"/>
      <c r="M531" s="83" t="n"/>
      <c r="N531" s="84" t="n"/>
    </row>
    <row r="532" ht="15.75" customHeight="1">
      <c r="A532" s="76" t="n"/>
      <c r="B532" s="77" t="n"/>
      <c r="C532" s="78" t="n"/>
      <c r="E532" s="78" t="n"/>
      <c r="F532" s="78" t="n"/>
      <c r="G532" s="77" t="n"/>
      <c r="H532" s="77" t="n"/>
      <c r="I532" s="79" t="n"/>
      <c r="J532" s="110" t="n"/>
      <c r="K532" s="111" t="n"/>
      <c r="L532" s="112" t="n"/>
      <c r="M532" s="83" t="n"/>
      <c r="N532" s="84" t="n"/>
    </row>
    <row r="533" ht="15.75" customHeight="1">
      <c r="A533" s="76" t="n"/>
      <c r="B533" s="77" t="n"/>
      <c r="C533" s="78" t="n"/>
      <c r="E533" s="78" t="n"/>
      <c r="F533" s="78" t="n"/>
      <c r="G533" s="77" t="n"/>
      <c r="H533" s="77" t="n"/>
      <c r="I533" s="79" t="n"/>
      <c r="J533" s="110" t="n"/>
      <c r="K533" s="111" t="n"/>
      <c r="L533" s="112" t="n"/>
      <c r="M533" s="83" t="n"/>
      <c r="N533" s="84" t="n"/>
    </row>
    <row r="534" ht="15.75" customHeight="1">
      <c r="A534" s="76" t="n"/>
      <c r="B534" s="77" t="n"/>
      <c r="C534" s="78" t="n"/>
      <c r="E534" s="78" t="n"/>
      <c r="F534" s="78" t="n"/>
      <c r="G534" s="77" t="n"/>
      <c r="H534" s="77" t="n"/>
      <c r="I534" s="79" t="n"/>
      <c r="J534" s="110" t="n"/>
      <c r="K534" s="111" t="n"/>
      <c r="L534" s="112" t="n"/>
      <c r="M534" s="83" t="n"/>
      <c r="N534" s="84" t="n"/>
    </row>
    <row r="535" ht="15.75" customHeight="1">
      <c r="A535" s="76" t="n"/>
      <c r="B535" s="77" t="n"/>
      <c r="C535" s="78" t="n"/>
      <c r="E535" s="78" t="n"/>
      <c r="F535" s="78" t="n"/>
      <c r="G535" s="77" t="n"/>
      <c r="H535" s="77" t="n"/>
      <c r="I535" s="79" t="n"/>
      <c r="J535" s="110" t="n"/>
      <c r="K535" s="111" t="n"/>
      <c r="L535" s="112" t="n"/>
      <c r="M535" s="83" t="n"/>
      <c r="N535" s="84" t="n"/>
    </row>
    <row r="536" ht="15.75" customHeight="1">
      <c r="A536" s="76" t="n"/>
      <c r="B536" s="77" t="n"/>
      <c r="C536" s="78" t="n"/>
      <c r="E536" s="78" t="n"/>
      <c r="F536" s="78" t="n"/>
      <c r="G536" s="77" t="n"/>
      <c r="H536" s="77" t="n"/>
      <c r="I536" s="79" t="n"/>
      <c r="J536" s="110" t="n"/>
      <c r="K536" s="111" t="n"/>
      <c r="L536" s="112" t="n"/>
      <c r="M536" s="83" t="n"/>
      <c r="N536" s="84" t="n"/>
    </row>
    <row r="537" ht="15.75" customHeight="1">
      <c r="A537" s="76" t="n"/>
      <c r="B537" s="77" t="n"/>
      <c r="C537" s="78" t="n"/>
      <c r="E537" s="78" t="n"/>
      <c r="F537" s="78" t="n"/>
      <c r="G537" s="77" t="n"/>
      <c r="H537" s="77" t="n"/>
      <c r="I537" s="79" t="n"/>
      <c r="J537" s="110" t="n"/>
      <c r="K537" s="111" t="n"/>
      <c r="L537" s="112" t="n"/>
      <c r="M537" s="83" t="n"/>
      <c r="N537" s="84" t="n"/>
    </row>
    <row r="538" ht="15.75" customHeight="1">
      <c r="A538" s="76" t="n"/>
      <c r="B538" s="77" t="n"/>
      <c r="C538" s="78" t="n"/>
      <c r="E538" s="78" t="n"/>
      <c r="F538" s="78" t="n"/>
      <c r="G538" s="77" t="n"/>
      <c r="H538" s="77" t="n"/>
      <c r="I538" s="79" t="n"/>
      <c r="J538" s="110" t="n"/>
      <c r="K538" s="111" t="n"/>
      <c r="L538" s="112" t="n"/>
      <c r="M538" s="83" t="n"/>
      <c r="N538" s="84" t="n"/>
    </row>
    <row r="539" ht="15.75" customHeight="1">
      <c r="A539" s="76" t="n"/>
      <c r="B539" s="77" t="n"/>
      <c r="C539" s="78" t="n"/>
      <c r="E539" s="78" t="n"/>
      <c r="F539" s="78" t="n"/>
      <c r="G539" s="77" t="n"/>
      <c r="H539" s="77" t="n"/>
      <c r="I539" s="79" t="n"/>
      <c r="J539" s="110" t="n"/>
      <c r="K539" s="111" t="n"/>
      <c r="L539" s="112" t="n"/>
      <c r="M539" s="83" t="n"/>
      <c r="N539" s="84" t="n"/>
    </row>
    <row r="540" ht="15.75" customHeight="1">
      <c r="A540" s="76" t="n"/>
      <c r="B540" s="77" t="n"/>
      <c r="C540" s="78" t="n"/>
      <c r="E540" s="78" t="n"/>
      <c r="F540" s="78" t="n"/>
      <c r="G540" s="77" t="n"/>
      <c r="H540" s="77" t="n"/>
      <c r="I540" s="79" t="n"/>
      <c r="J540" s="110" t="n"/>
      <c r="K540" s="111" t="n"/>
      <c r="L540" s="112" t="n"/>
      <c r="M540" s="83" t="n"/>
      <c r="N540" s="84" t="n"/>
    </row>
    <row r="541" ht="15.75" customHeight="1">
      <c r="A541" s="76" t="n"/>
      <c r="B541" s="77" t="n"/>
      <c r="C541" s="78" t="n"/>
      <c r="E541" s="78" t="n"/>
      <c r="F541" s="78" t="n"/>
      <c r="G541" s="77" t="n"/>
      <c r="H541" s="77" t="n"/>
      <c r="I541" s="79" t="n"/>
      <c r="J541" s="110" t="n"/>
      <c r="K541" s="111" t="n"/>
      <c r="L541" s="112" t="n"/>
      <c r="M541" s="83" t="n"/>
      <c r="N541" s="84" t="n"/>
    </row>
    <row r="542" ht="15.75" customHeight="1">
      <c r="A542" s="76" t="n"/>
      <c r="B542" s="77" t="n"/>
      <c r="C542" s="78" t="n"/>
      <c r="E542" s="78" t="n"/>
      <c r="F542" s="78" t="n"/>
      <c r="G542" s="77" t="n"/>
      <c r="H542" s="77" t="n"/>
      <c r="I542" s="79" t="n"/>
      <c r="J542" s="110" t="n"/>
      <c r="K542" s="111" t="n"/>
      <c r="L542" s="112" t="n"/>
      <c r="M542" s="83" t="n"/>
      <c r="N542" s="84" t="n"/>
    </row>
    <row r="543" ht="15.75" customHeight="1">
      <c r="A543" s="76" t="n"/>
      <c r="B543" s="77" t="n"/>
      <c r="C543" s="78" t="n"/>
      <c r="E543" s="78" t="n"/>
      <c r="F543" s="78" t="n"/>
      <c r="G543" s="77" t="n"/>
      <c r="H543" s="77" t="n"/>
      <c r="I543" s="79" t="n"/>
      <c r="J543" s="110" t="n"/>
      <c r="K543" s="111" t="n"/>
      <c r="L543" s="112" t="n"/>
      <c r="M543" s="83" t="n"/>
      <c r="N543" s="84" t="n"/>
    </row>
    <row r="544" ht="15.75" customHeight="1">
      <c r="A544" s="76" t="n"/>
      <c r="B544" s="77" t="n"/>
      <c r="C544" s="78" t="n"/>
      <c r="E544" s="78" t="n"/>
      <c r="F544" s="78" t="n"/>
      <c r="G544" s="77" t="n"/>
      <c r="H544" s="77" t="n"/>
      <c r="I544" s="79" t="n"/>
      <c r="J544" s="110" t="n"/>
      <c r="K544" s="111" t="n"/>
      <c r="L544" s="112" t="n"/>
      <c r="M544" s="83" t="n"/>
      <c r="N544" s="84" t="n"/>
    </row>
    <row r="545" ht="15.75" customHeight="1">
      <c r="A545" s="76" t="n"/>
      <c r="B545" s="77" t="n"/>
      <c r="C545" s="78" t="n"/>
      <c r="E545" s="78" t="n"/>
      <c r="F545" s="78" t="n"/>
      <c r="G545" s="77" t="n"/>
      <c r="H545" s="77" t="n"/>
      <c r="I545" s="79" t="n"/>
      <c r="J545" s="110" t="n"/>
      <c r="K545" s="111" t="n"/>
      <c r="L545" s="112" t="n"/>
      <c r="M545" s="83" t="n"/>
      <c r="N545" s="84" t="n"/>
    </row>
    <row r="546" ht="15.75" customHeight="1">
      <c r="A546" s="76" t="n"/>
      <c r="B546" s="77" t="n"/>
      <c r="C546" s="78" t="n"/>
      <c r="E546" s="78" t="n"/>
      <c r="F546" s="78" t="n"/>
      <c r="G546" s="77" t="n"/>
      <c r="H546" s="77" t="n"/>
      <c r="I546" s="79" t="n"/>
      <c r="J546" s="110" t="n"/>
      <c r="K546" s="111" t="n"/>
      <c r="L546" s="112" t="n"/>
      <c r="M546" s="83" t="n"/>
      <c r="N546" s="84" t="n"/>
    </row>
    <row r="547" ht="15.75" customHeight="1">
      <c r="A547" s="76" t="n"/>
      <c r="B547" s="77" t="n"/>
      <c r="C547" s="78" t="n"/>
      <c r="E547" s="78" t="n"/>
      <c r="F547" s="78" t="n"/>
      <c r="G547" s="77" t="n"/>
      <c r="H547" s="77" t="n"/>
      <c r="I547" s="79" t="n"/>
      <c r="J547" s="110" t="n"/>
      <c r="K547" s="111" t="n"/>
      <c r="L547" s="112" t="n"/>
      <c r="M547" s="83" t="n"/>
      <c r="N547" s="84" t="n"/>
    </row>
    <row r="548" ht="15.75" customHeight="1">
      <c r="A548" s="76" t="n"/>
      <c r="B548" s="77" t="n"/>
      <c r="C548" s="78" t="n"/>
      <c r="E548" s="78" t="n"/>
      <c r="F548" s="78" t="n"/>
      <c r="G548" s="77" t="n"/>
      <c r="H548" s="77" t="n"/>
      <c r="I548" s="79" t="n"/>
      <c r="J548" s="110" t="n"/>
      <c r="K548" s="111" t="n"/>
      <c r="L548" s="112" t="n"/>
      <c r="M548" s="83" t="n"/>
      <c r="N548" s="84" t="n"/>
    </row>
    <row r="549" ht="15.75" customHeight="1">
      <c r="A549" s="76" t="n"/>
      <c r="B549" s="77" t="n"/>
      <c r="C549" s="78" t="n"/>
      <c r="E549" s="78" t="n"/>
      <c r="F549" s="78" t="n"/>
      <c r="G549" s="77" t="n"/>
      <c r="H549" s="77" t="n"/>
      <c r="I549" s="79" t="n"/>
      <c r="J549" s="110" t="n"/>
      <c r="K549" s="111" t="n"/>
      <c r="L549" s="112" t="n"/>
      <c r="M549" s="83" t="n"/>
      <c r="N549" s="84" t="n"/>
    </row>
    <row r="550" ht="15.75" customHeight="1">
      <c r="A550" s="76" t="n"/>
      <c r="B550" s="77" t="n"/>
      <c r="C550" s="78" t="n"/>
      <c r="E550" s="78" t="n"/>
      <c r="F550" s="78" t="n"/>
      <c r="G550" s="77" t="n"/>
      <c r="H550" s="77" t="n"/>
      <c r="I550" s="79" t="n"/>
      <c r="J550" s="110" t="n"/>
      <c r="K550" s="111" t="n"/>
      <c r="L550" s="112" t="n"/>
      <c r="M550" s="83" t="n"/>
      <c r="N550" s="84" t="n"/>
    </row>
    <row r="551" ht="15.75" customHeight="1">
      <c r="A551" s="76" t="n"/>
      <c r="B551" s="77" t="n"/>
      <c r="C551" s="78" t="n"/>
      <c r="E551" s="78" t="n"/>
      <c r="F551" s="78" t="n"/>
      <c r="G551" s="77" t="n"/>
      <c r="H551" s="77" t="n"/>
      <c r="I551" s="79" t="n"/>
      <c r="J551" s="110" t="n"/>
      <c r="K551" s="111" t="n"/>
      <c r="L551" s="112" t="n"/>
      <c r="M551" s="83" t="n"/>
      <c r="N551" s="84" t="n"/>
    </row>
    <row r="552" ht="15.75" customHeight="1">
      <c r="A552" s="76" t="n"/>
      <c r="B552" s="77" t="n"/>
      <c r="C552" s="78" t="n"/>
      <c r="E552" s="78" t="n"/>
      <c r="F552" s="78" t="n"/>
      <c r="G552" s="77" t="n"/>
      <c r="H552" s="77" t="n"/>
      <c r="I552" s="79" t="n"/>
      <c r="J552" s="110" t="n"/>
      <c r="K552" s="111" t="n"/>
      <c r="L552" s="112" t="n"/>
      <c r="M552" s="83" t="n"/>
      <c r="N552" s="84" t="n"/>
    </row>
    <row r="553" ht="15.75" customHeight="1">
      <c r="A553" s="76" t="n"/>
      <c r="B553" s="77" t="n"/>
      <c r="C553" s="78" t="n"/>
      <c r="E553" s="78" t="n"/>
      <c r="F553" s="78" t="n"/>
      <c r="G553" s="77" t="n"/>
      <c r="H553" s="77" t="n"/>
      <c r="I553" s="79" t="n"/>
      <c r="J553" s="110" t="n"/>
      <c r="K553" s="111" t="n"/>
      <c r="L553" s="112" t="n"/>
      <c r="M553" s="83" t="n"/>
      <c r="N553" s="84" t="n"/>
    </row>
    <row r="554" ht="15.75" customHeight="1">
      <c r="A554" s="76" t="n"/>
      <c r="B554" s="77" t="n"/>
      <c r="C554" s="78" t="n"/>
      <c r="E554" s="78" t="n"/>
      <c r="F554" s="78" t="n"/>
      <c r="G554" s="77" t="n"/>
      <c r="H554" s="77" t="n"/>
      <c r="I554" s="79" t="n"/>
      <c r="J554" s="110" t="n"/>
      <c r="K554" s="111" t="n"/>
      <c r="L554" s="112" t="n"/>
      <c r="M554" s="83" t="n"/>
      <c r="N554" s="84" t="n"/>
    </row>
    <row r="555" ht="15.75" customHeight="1">
      <c r="A555" s="76" t="n"/>
      <c r="B555" s="77" t="n"/>
      <c r="C555" s="78" t="n"/>
      <c r="E555" s="78" t="n"/>
      <c r="F555" s="78" t="n"/>
      <c r="G555" s="77" t="n"/>
      <c r="H555" s="77" t="n"/>
      <c r="I555" s="79" t="n"/>
      <c r="J555" s="110" t="n"/>
      <c r="K555" s="111" t="n"/>
      <c r="L555" s="112" t="n"/>
      <c r="M555" s="83" t="n"/>
      <c r="N555" s="84" t="n"/>
    </row>
    <row r="556" ht="15.75" customHeight="1">
      <c r="A556" s="76" t="n"/>
      <c r="B556" s="77" t="n"/>
      <c r="C556" s="78" t="n"/>
      <c r="E556" s="78" t="n"/>
      <c r="F556" s="78" t="n"/>
      <c r="G556" s="77" t="n"/>
      <c r="H556" s="77" t="n"/>
      <c r="I556" s="79" t="n"/>
      <c r="J556" s="110" t="n"/>
      <c r="K556" s="111" t="n"/>
      <c r="L556" s="112" t="n"/>
      <c r="M556" s="83" t="n"/>
      <c r="N556" s="84" t="n"/>
    </row>
    <row r="557" ht="15.75" customHeight="1">
      <c r="A557" s="76" t="n"/>
      <c r="B557" s="77" t="n"/>
      <c r="C557" s="78" t="n"/>
      <c r="E557" s="78" t="n"/>
      <c r="F557" s="78" t="n"/>
      <c r="G557" s="77" t="n"/>
      <c r="H557" s="77" t="n"/>
      <c r="I557" s="79" t="n"/>
      <c r="J557" s="110" t="n"/>
      <c r="K557" s="111" t="n"/>
      <c r="L557" s="112" t="n"/>
      <c r="M557" s="83" t="n"/>
      <c r="N557" s="84" t="n"/>
    </row>
    <row r="558" ht="15.75" customHeight="1">
      <c r="A558" s="76" t="n"/>
      <c r="B558" s="77" t="n"/>
      <c r="C558" s="78" t="n"/>
      <c r="E558" s="78" t="n"/>
      <c r="F558" s="78" t="n"/>
      <c r="G558" s="77" t="n"/>
      <c r="H558" s="77" t="n"/>
      <c r="I558" s="79" t="n"/>
      <c r="J558" s="110" t="n"/>
      <c r="K558" s="111" t="n"/>
      <c r="L558" s="112" t="n"/>
      <c r="M558" s="83" t="n"/>
      <c r="N558" s="84" t="n"/>
    </row>
    <row r="559" ht="15.75" customHeight="1">
      <c r="A559" s="76" t="n"/>
      <c r="B559" s="77" t="n"/>
      <c r="C559" s="78" t="n"/>
      <c r="E559" s="78" t="n"/>
      <c r="F559" s="78" t="n"/>
      <c r="G559" s="77" t="n"/>
      <c r="H559" s="77" t="n"/>
      <c r="I559" s="79" t="n"/>
      <c r="J559" s="110" t="n"/>
      <c r="K559" s="111" t="n"/>
      <c r="L559" s="112" t="n"/>
      <c r="M559" s="83" t="n"/>
      <c r="N559" s="84" t="n"/>
    </row>
    <row r="560" ht="15.75" customHeight="1">
      <c r="A560" s="76" t="n"/>
      <c r="B560" s="77" t="n"/>
      <c r="C560" s="78" t="n"/>
      <c r="E560" s="78" t="n"/>
      <c r="F560" s="78" t="n"/>
      <c r="G560" s="77" t="n"/>
      <c r="H560" s="77" t="n"/>
      <c r="I560" s="79" t="n"/>
      <c r="J560" s="110" t="n"/>
      <c r="K560" s="111" t="n"/>
      <c r="L560" s="112" t="n"/>
      <c r="M560" s="83" t="n"/>
      <c r="N560" s="84" t="n"/>
    </row>
    <row r="561" ht="15.75" customHeight="1">
      <c r="A561" s="76" t="n"/>
      <c r="B561" s="77" t="n"/>
      <c r="C561" s="78" t="n"/>
      <c r="E561" s="78" t="n"/>
      <c r="F561" s="78" t="n"/>
      <c r="G561" s="77" t="n"/>
      <c r="H561" s="77" t="n"/>
      <c r="I561" s="79" t="n"/>
      <c r="J561" s="110" t="n"/>
      <c r="K561" s="111" t="n"/>
      <c r="L561" s="112" t="n"/>
      <c r="M561" s="83" t="n"/>
      <c r="N561" s="84" t="n"/>
    </row>
    <row r="562" ht="15.75" customHeight="1">
      <c r="A562" s="76" t="n"/>
      <c r="B562" s="77" t="n"/>
      <c r="C562" s="78" t="n"/>
      <c r="E562" s="78" t="n"/>
      <c r="F562" s="78" t="n"/>
      <c r="G562" s="77" t="n"/>
      <c r="H562" s="77" t="n"/>
      <c r="I562" s="79" t="n"/>
      <c r="J562" s="110" t="n"/>
      <c r="K562" s="111" t="n"/>
      <c r="L562" s="112" t="n"/>
      <c r="M562" s="83" t="n"/>
      <c r="N562" s="84" t="n"/>
    </row>
    <row r="563" ht="15.75" customHeight="1">
      <c r="A563" s="76" t="n"/>
      <c r="B563" s="77" t="n"/>
      <c r="C563" s="78" t="n"/>
      <c r="E563" s="78" t="n"/>
      <c r="F563" s="78" t="n"/>
      <c r="G563" s="77" t="n"/>
      <c r="H563" s="77" t="n"/>
      <c r="I563" s="79" t="n"/>
      <c r="J563" s="110" t="n"/>
      <c r="K563" s="111" t="n"/>
      <c r="L563" s="112" t="n"/>
      <c r="M563" s="83" t="n"/>
      <c r="N563" s="84" t="n"/>
    </row>
    <row r="564" ht="15.75" customHeight="1">
      <c r="A564" s="76" t="n"/>
      <c r="B564" s="77" t="n"/>
      <c r="C564" s="78" t="n"/>
      <c r="E564" s="78" t="n"/>
      <c r="F564" s="78" t="n"/>
      <c r="G564" s="77" t="n"/>
      <c r="H564" s="77" t="n"/>
      <c r="I564" s="79" t="n"/>
      <c r="J564" s="110" t="n"/>
      <c r="K564" s="111" t="n"/>
      <c r="L564" s="112" t="n"/>
      <c r="M564" s="83" t="n"/>
      <c r="N564" s="84" t="n"/>
    </row>
    <row r="565" ht="15.75" customHeight="1">
      <c r="A565" s="76" t="n"/>
      <c r="B565" s="77" t="n"/>
      <c r="C565" s="78" t="n"/>
      <c r="E565" s="78" t="n"/>
      <c r="F565" s="78" t="n"/>
      <c r="G565" s="77" t="n"/>
      <c r="H565" s="77" t="n"/>
      <c r="I565" s="79" t="n"/>
      <c r="J565" s="110" t="n"/>
      <c r="K565" s="111" t="n"/>
      <c r="L565" s="112" t="n"/>
      <c r="M565" s="83" t="n"/>
      <c r="N565" s="84" t="n"/>
    </row>
    <row r="566" ht="15.75" customHeight="1">
      <c r="A566" s="76" t="n"/>
      <c r="B566" s="77" t="n"/>
      <c r="C566" s="78" t="n"/>
      <c r="E566" s="78" t="n"/>
      <c r="F566" s="78" t="n"/>
      <c r="G566" s="77" t="n"/>
      <c r="H566" s="77" t="n"/>
      <c r="I566" s="79" t="n"/>
      <c r="J566" s="110" t="n"/>
      <c r="K566" s="111" t="n"/>
      <c r="L566" s="112" t="n"/>
      <c r="M566" s="83" t="n"/>
      <c r="N566" s="84" t="n"/>
    </row>
    <row r="567" ht="15.75" customHeight="1">
      <c r="A567" s="76" t="n"/>
      <c r="B567" s="77" t="n"/>
      <c r="C567" s="78" t="n"/>
      <c r="E567" s="78" t="n"/>
      <c r="F567" s="78" t="n"/>
      <c r="G567" s="77" t="n"/>
      <c r="H567" s="77" t="n"/>
      <c r="I567" s="79" t="n"/>
      <c r="J567" s="110" t="n"/>
      <c r="K567" s="111" t="n"/>
      <c r="L567" s="112" t="n"/>
      <c r="M567" s="83" t="n"/>
      <c r="N567" s="84" t="n"/>
    </row>
    <row r="568" ht="15.75" customHeight="1">
      <c r="A568" s="76" t="n"/>
      <c r="B568" s="77" t="n"/>
      <c r="C568" s="78" t="n"/>
      <c r="E568" s="78" t="n"/>
      <c r="F568" s="78" t="n"/>
      <c r="G568" s="77" t="n"/>
      <c r="H568" s="77" t="n"/>
      <c r="I568" s="79" t="n"/>
      <c r="J568" s="110" t="n"/>
      <c r="K568" s="111" t="n"/>
      <c r="L568" s="112" t="n"/>
      <c r="M568" s="83" t="n"/>
      <c r="N568" s="84" t="n"/>
    </row>
    <row r="569" ht="15.75" customHeight="1">
      <c r="A569" s="76" t="n"/>
      <c r="B569" s="77" t="n"/>
      <c r="C569" s="78" t="n"/>
      <c r="E569" s="78" t="n"/>
      <c r="F569" s="78" t="n"/>
      <c r="G569" s="77" t="n"/>
      <c r="H569" s="77" t="n"/>
      <c r="I569" s="79" t="n"/>
      <c r="J569" s="110" t="n"/>
      <c r="K569" s="111" t="n"/>
      <c r="L569" s="112" t="n"/>
      <c r="M569" s="83" t="n"/>
      <c r="N569" s="84" t="n"/>
    </row>
    <row r="570" ht="15.75" customHeight="1">
      <c r="A570" s="76" t="n"/>
      <c r="B570" s="77" t="n"/>
      <c r="C570" s="78" t="n"/>
      <c r="E570" s="78" t="n"/>
      <c r="F570" s="78" t="n"/>
      <c r="G570" s="77" t="n"/>
      <c r="H570" s="77" t="n"/>
      <c r="I570" s="79" t="n"/>
      <c r="J570" s="110" t="n"/>
      <c r="K570" s="111" t="n"/>
      <c r="L570" s="112" t="n"/>
      <c r="M570" s="83" t="n"/>
      <c r="N570" s="84" t="n"/>
    </row>
    <row r="571" ht="15.75" customHeight="1">
      <c r="A571" s="76" t="n"/>
      <c r="B571" s="77" t="n"/>
      <c r="C571" s="78" t="n"/>
      <c r="E571" s="78" t="n"/>
      <c r="F571" s="78" t="n"/>
      <c r="G571" s="77" t="n"/>
      <c r="H571" s="77" t="n"/>
      <c r="I571" s="79" t="n"/>
      <c r="J571" s="110" t="n"/>
      <c r="K571" s="111" t="n"/>
      <c r="L571" s="112" t="n"/>
      <c r="M571" s="83" t="n"/>
      <c r="N571" s="84" t="n"/>
    </row>
    <row r="572" ht="15.75" customHeight="1">
      <c r="A572" s="76" t="n"/>
      <c r="B572" s="77" t="n"/>
      <c r="C572" s="78" t="n"/>
      <c r="E572" s="78" t="n"/>
      <c r="F572" s="78" t="n"/>
      <c r="G572" s="77" t="n"/>
      <c r="H572" s="77" t="n"/>
      <c r="I572" s="79" t="n"/>
      <c r="J572" s="110" t="n"/>
      <c r="K572" s="111" t="n"/>
      <c r="L572" s="112" t="n"/>
      <c r="M572" s="83" t="n"/>
      <c r="N572" s="84" t="n"/>
    </row>
    <row r="573" ht="15.75" customHeight="1">
      <c r="A573" s="76" t="n"/>
      <c r="B573" s="77" t="n"/>
      <c r="C573" s="78" t="n"/>
      <c r="E573" s="78" t="n"/>
      <c r="F573" s="78" t="n"/>
      <c r="G573" s="77" t="n"/>
      <c r="H573" s="77" t="n"/>
      <c r="I573" s="79" t="n"/>
      <c r="J573" s="110" t="n"/>
      <c r="K573" s="111" t="n"/>
      <c r="L573" s="112" t="n"/>
      <c r="M573" s="83" t="n"/>
      <c r="N573" s="84" t="n"/>
    </row>
    <row r="574" ht="15.75" customHeight="1">
      <c r="A574" s="76" t="n"/>
      <c r="B574" s="77" t="n"/>
      <c r="C574" s="78" t="n"/>
      <c r="E574" s="78" t="n"/>
      <c r="F574" s="78" t="n"/>
      <c r="G574" s="77" t="n"/>
      <c r="H574" s="77" t="n"/>
      <c r="I574" s="79" t="n"/>
      <c r="J574" s="110" t="n"/>
      <c r="K574" s="111" t="n"/>
      <c r="L574" s="112" t="n"/>
      <c r="M574" s="83" t="n"/>
      <c r="N574" s="84" t="n"/>
    </row>
    <row r="575" ht="15.75" customHeight="1">
      <c r="A575" s="76" t="n"/>
      <c r="B575" s="77" t="n"/>
      <c r="C575" s="78" t="n"/>
      <c r="E575" s="78" t="n"/>
      <c r="F575" s="78" t="n"/>
      <c r="G575" s="77" t="n"/>
      <c r="H575" s="77" t="n"/>
      <c r="I575" s="79" t="n"/>
      <c r="J575" s="110" t="n"/>
      <c r="K575" s="111" t="n"/>
      <c r="L575" s="112" t="n"/>
      <c r="M575" s="83" t="n"/>
      <c r="N575" s="84" t="n"/>
    </row>
    <row r="576" ht="15.75" customHeight="1">
      <c r="A576" s="76" t="n"/>
      <c r="B576" s="77" t="n"/>
      <c r="C576" s="78" t="n"/>
      <c r="E576" s="78" t="n"/>
      <c r="F576" s="78" t="n"/>
      <c r="G576" s="77" t="n"/>
      <c r="H576" s="77" t="n"/>
      <c r="I576" s="79" t="n"/>
      <c r="J576" s="110" t="n"/>
      <c r="K576" s="111" t="n"/>
      <c r="L576" s="112" t="n"/>
      <c r="M576" s="83" t="n"/>
      <c r="N576" s="84" t="n"/>
    </row>
    <row r="577" ht="15.75" customHeight="1">
      <c r="A577" s="76" t="n"/>
      <c r="B577" s="77" t="n"/>
      <c r="C577" s="78" t="n"/>
      <c r="E577" s="78" t="n"/>
      <c r="F577" s="78" t="n"/>
      <c r="G577" s="77" t="n"/>
      <c r="H577" s="77" t="n"/>
      <c r="I577" s="79" t="n"/>
      <c r="J577" s="110" t="n"/>
      <c r="K577" s="111" t="n"/>
      <c r="L577" s="112" t="n"/>
      <c r="M577" s="83" t="n"/>
      <c r="N577" s="84" t="n"/>
    </row>
    <row r="578" ht="15.75" customHeight="1">
      <c r="A578" s="76" t="n"/>
      <c r="B578" s="77" t="n"/>
      <c r="C578" s="78" t="n"/>
      <c r="E578" s="78" t="n"/>
      <c r="F578" s="78" t="n"/>
      <c r="G578" s="77" t="n"/>
      <c r="H578" s="77" t="n"/>
      <c r="I578" s="79" t="n"/>
      <c r="J578" s="110" t="n"/>
      <c r="K578" s="111" t="n"/>
      <c r="L578" s="112" t="n"/>
      <c r="M578" s="83" t="n"/>
      <c r="N578" s="84" t="n"/>
    </row>
    <row r="579" ht="15.75" customHeight="1">
      <c r="A579" s="76" t="n"/>
      <c r="B579" s="77" t="n"/>
      <c r="C579" s="78" t="n"/>
      <c r="E579" s="78" t="n"/>
      <c r="F579" s="78" t="n"/>
      <c r="G579" s="77" t="n"/>
      <c r="H579" s="77" t="n"/>
      <c r="I579" s="79" t="n"/>
      <c r="J579" s="110" t="n"/>
      <c r="K579" s="111" t="n"/>
      <c r="L579" s="112" t="n"/>
      <c r="M579" s="83" t="n"/>
      <c r="N579" s="84" t="n"/>
    </row>
    <row r="580" ht="15.75" customHeight="1">
      <c r="A580" s="76" t="n"/>
      <c r="B580" s="77" t="n"/>
      <c r="C580" s="78" t="n"/>
      <c r="E580" s="78" t="n"/>
      <c r="F580" s="78" t="n"/>
      <c r="G580" s="77" t="n"/>
      <c r="H580" s="77" t="n"/>
      <c r="I580" s="79" t="n"/>
      <c r="J580" s="110" t="n"/>
      <c r="K580" s="111" t="n"/>
      <c r="L580" s="112" t="n"/>
      <c r="M580" s="83" t="n"/>
      <c r="N580" s="84" t="n"/>
    </row>
    <row r="581" ht="15.75" customHeight="1">
      <c r="A581" s="76" t="n"/>
      <c r="B581" s="77" t="n"/>
      <c r="C581" s="78" t="n"/>
      <c r="E581" s="78" t="n"/>
      <c r="F581" s="78" t="n"/>
      <c r="G581" s="77" t="n"/>
      <c r="H581" s="77" t="n"/>
      <c r="I581" s="79" t="n"/>
      <c r="J581" s="110" t="n"/>
      <c r="K581" s="111" t="n"/>
      <c r="L581" s="112" t="n"/>
      <c r="M581" s="83" t="n"/>
      <c r="N581" s="84" t="n"/>
    </row>
    <row r="582" ht="15.75" customHeight="1">
      <c r="A582" s="76" t="n"/>
      <c r="B582" s="77" t="n"/>
      <c r="C582" s="78" t="n"/>
      <c r="E582" s="78" t="n"/>
      <c r="F582" s="78" t="n"/>
      <c r="G582" s="77" t="n"/>
      <c r="H582" s="77" t="n"/>
      <c r="I582" s="79" t="n"/>
      <c r="J582" s="110" t="n"/>
      <c r="K582" s="111" t="n"/>
      <c r="L582" s="112" t="n"/>
      <c r="M582" s="83" t="n"/>
      <c r="N582" s="84" t="n"/>
    </row>
    <row r="583" ht="15.75" customHeight="1">
      <c r="A583" s="76" t="n"/>
      <c r="B583" s="77" t="n"/>
      <c r="C583" s="78" t="n"/>
      <c r="E583" s="78" t="n"/>
      <c r="F583" s="78" t="n"/>
      <c r="G583" s="77" t="n"/>
      <c r="H583" s="77" t="n"/>
      <c r="I583" s="79" t="n"/>
      <c r="J583" s="110" t="n"/>
      <c r="K583" s="111" t="n"/>
      <c r="L583" s="112" t="n"/>
      <c r="M583" s="83" t="n"/>
      <c r="N583" s="84" t="n"/>
    </row>
    <row r="584" ht="15.75" customHeight="1">
      <c r="A584" s="76" t="n"/>
      <c r="B584" s="77" t="n"/>
      <c r="C584" s="78" t="n"/>
      <c r="E584" s="78" t="n"/>
      <c r="F584" s="78" t="n"/>
      <c r="G584" s="77" t="n"/>
      <c r="H584" s="77" t="n"/>
      <c r="I584" s="79" t="n"/>
      <c r="J584" s="110" t="n"/>
      <c r="K584" s="111" t="n"/>
      <c r="L584" s="112" t="n"/>
      <c r="M584" s="83" t="n"/>
      <c r="N584" s="84" t="n"/>
    </row>
    <row r="585" ht="15.75" customHeight="1">
      <c r="A585" s="76" t="n"/>
      <c r="B585" s="77" t="n"/>
      <c r="C585" s="78" t="n"/>
      <c r="E585" s="78" t="n"/>
      <c r="F585" s="78" t="n"/>
      <c r="G585" s="77" t="n"/>
      <c r="H585" s="77" t="n"/>
      <c r="I585" s="79" t="n"/>
      <c r="J585" s="110" t="n"/>
      <c r="K585" s="111" t="n"/>
      <c r="L585" s="112" t="n"/>
      <c r="M585" s="83" t="n"/>
      <c r="N585" s="84" t="n"/>
    </row>
    <row r="586" ht="15.75" customHeight="1">
      <c r="A586" s="76" t="n"/>
      <c r="B586" s="77" t="n"/>
      <c r="C586" s="78" t="n"/>
      <c r="E586" s="78" t="n"/>
      <c r="F586" s="78" t="n"/>
      <c r="G586" s="77" t="n"/>
      <c r="H586" s="77" t="n"/>
      <c r="I586" s="79" t="n"/>
      <c r="J586" s="110" t="n"/>
      <c r="K586" s="111" t="n"/>
      <c r="L586" s="112" t="n"/>
      <c r="M586" s="83" t="n"/>
      <c r="N586" s="84" t="n"/>
    </row>
    <row r="587" ht="15.75" customHeight="1">
      <c r="A587" s="76" t="n"/>
      <c r="B587" s="77" t="n"/>
      <c r="C587" s="78" t="n"/>
      <c r="E587" s="78" t="n"/>
      <c r="F587" s="78" t="n"/>
      <c r="G587" s="77" t="n"/>
      <c r="H587" s="77" t="n"/>
      <c r="I587" s="79" t="n"/>
      <c r="J587" s="110" t="n"/>
      <c r="K587" s="111" t="n"/>
      <c r="L587" s="112" t="n"/>
      <c r="M587" s="83" t="n"/>
      <c r="N587" s="84" t="n"/>
    </row>
    <row r="588" ht="15.75" customHeight="1">
      <c r="A588" s="76" t="n"/>
      <c r="B588" s="77" t="n"/>
      <c r="C588" s="78" t="n"/>
      <c r="E588" s="78" t="n"/>
      <c r="F588" s="78" t="n"/>
      <c r="G588" s="77" t="n"/>
      <c r="H588" s="77" t="n"/>
      <c r="I588" s="79" t="n"/>
      <c r="J588" s="110" t="n"/>
      <c r="K588" s="111" t="n"/>
      <c r="L588" s="112" t="n"/>
      <c r="M588" s="83" t="n"/>
      <c r="N588" s="84" t="n"/>
    </row>
    <row r="589" ht="15.75" customHeight="1">
      <c r="A589" s="76" t="n"/>
      <c r="B589" s="77" t="n"/>
      <c r="C589" s="78" t="n"/>
      <c r="E589" s="78" t="n"/>
      <c r="F589" s="78" t="n"/>
      <c r="G589" s="77" t="n"/>
      <c r="H589" s="77" t="n"/>
      <c r="I589" s="79" t="n"/>
      <c r="J589" s="110" t="n"/>
      <c r="K589" s="111" t="n"/>
      <c r="L589" s="112" t="n"/>
      <c r="M589" s="83" t="n"/>
      <c r="N589" s="84" t="n"/>
    </row>
    <row r="590" ht="15.75" customHeight="1">
      <c r="A590" s="76" t="n"/>
      <c r="B590" s="77" t="n"/>
      <c r="C590" s="78" t="n"/>
      <c r="E590" s="78" t="n"/>
      <c r="F590" s="78" t="n"/>
      <c r="G590" s="77" t="n"/>
      <c r="H590" s="77" t="n"/>
      <c r="I590" s="79" t="n"/>
      <c r="J590" s="110" t="n"/>
      <c r="K590" s="111" t="n"/>
      <c r="L590" s="112" t="n"/>
      <c r="M590" s="83" t="n"/>
      <c r="N590" s="84" t="n"/>
    </row>
    <row r="591" ht="15.75" customHeight="1">
      <c r="A591" s="76" t="n"/>
      <c r="B591" s="77" t="n"/>
      <c r="C591" s="78" t="n"/>
      <c r="E591" s="78" t="n"/>
      <c r="F591" s="78" t="n"/>
      <c r="G591" s="77" t="n"/>
      <c r="H591" s="77" t="n"/>
      <c r="I591" s="79" t="n"/>
      <c r="J591" s="110" t="n"/>
      <c r="K591" s="111" t="n"/>
      <c r="L591" s="112" t="n"/>
      <c r="M591" s="83" t="n"/>
      <c r="N591" s="84" t="n"/>
    </row>
    <row r="592" ht="15.75" customHeight="1">
      <c r="A592" s="76" t="n"/>
      <c r="B592" s="77" t="n"/>
      <c r="C592" s="78" t="n"/>
      <c r="E592" s="78" t="n"/>
      <c r="F592" s="78" t="n"/>
      <c r="G592" s="77" t="n"/>
      <c r="H592" s="77" t="n"/>
      <c r="I592" s="79" t="n"/>
      <c r="J592" s="110" t="n"/>
      <c r="K592" s="111" t="n"/>
      <c r="L592" s="112" t="n"/>
      <c r="M592" s="83" t="n"/>
      <c r="N592" s="84" t="n"/>
    </row>
    <row r="593" ht="15.75" customHeight="1">
      <c r="A593" s="76" t="n"/>
      <c r="B593" s="77" t="n"/>
      <c r="C593" s="78" t="n"/>
      <c r="E593" s="78" t="n"/>
      <c r="F593" s="78" t="n"/>
      <c r="G593" s="77" t="n"/>
      <c r="H593" s="77" t="n"/>
      <c r="I593" s="79" t="n"/>
      <c r="J593" s="110" t="n"/>
      <c r="K593" s="111" t="n"/>
      <c r="L593" s="112" t="n"/>
      <c r="M593" s="83" t="n"/>
      <c r="N593" s="84" t="n"/>
    </row>
    <row r="594" ht="15.75" customHeight="1">
      <c r="A594" s="76" t="n"/>
      <c r="B594" s="77" t="n"/>
      <c r="C594" s="78" t="n"/>
      <c r="E594" s="78" t="n"/>
      <c r="F594" s="78" t="n"/>
      <c r="G594" s="77" t="n"/>
      <c r="H594" s="77" t="n"/>
      <c r="I594" s="79" t="n"/>
      <c r="J594" s="110" t="n"/>
      <c r="K594" s="111" t="n"/>
      <c r="L594" s="112" t="n"/>
      <c r="M594" s="83" t="n"/>
      <c r="N594" s="84" t="n"/>
    </row>
    <row r="595" ht="15.75" customHeight="1">
      <c r="A595" s="76" t="n"/>
      <c r="B595" s="77" t="n"/>
      <c r="C595" s="78" t="n"/>
      <c r="E595" s="78" t="n"/>
      <c r="F595" s="78" t="n"/>
      <c r="G595" s="77" t="n"/>
      <c r="H595" s="77" t="n"/>
      <c r="I595" s="79" t="n"/>
      <c r="J595" s="110" t="n"/>
      <c r="K595" s="111" t="n"/>
      <c r="L595" s="112" t="n"/>
      <c r="M595" s="83" t="n"/>
      <c r="N595" s="84" t="n"/>
    </row>
    <row r="596" ht="15.75" customHeight="1">
      <c r="A596" s="76" t="n"/>
      <c r="B596" s="77" t="n"/>
      <c r="C596" s="78" t="n"/>
      <c r="E596" s="78" t="n"/>
      <c r="F596" s="78" t="n"/>
      <c r="G596" s="77" t="n"/>
      <c r="H596" s="77" t="n"/>
      <c r="I596" s="79" t="n"/>
      <c r="J596" s="110" t="n"/>
      <c r="K596" s="111" t="n"/>
      <c r="L596" s="112" t="n"/>
      <c r="M596" s="83" t="n"/>
      <c r="N596" s="84" t="n"/>
    </row>
    <row r="597" ht="15.75" customHeight="1">
      <c r="A597" s="76" t="n"/>
      <c r="B597" s="77" t="n"/>
      <c r="C597" s="78" t="n"/>
      <c r="E597" s="78" t="n"/>
      <c r="F597" s="78" t="n"/>
      <c r="G597" s="77" t="n"/>
      <c r="H597" s="77" t="n"/>
      <c r="I597" s="79" t="n"/>
      <c r="J597" s="110" t="n"/>
      <c r="K597" s="111" t="n"/>
      <c r="L597" s="112" t="n"/>
      <c r="M597" s="83" t="n"/>
      <c r="N597" s="84" t="n"/>
    </row>
    <row r="598" ht="15.75" customHeight="1">
      <c r="A598" s="76" t="n"/>
      <c r="B598" s="77" t="n"/>
      <c r="C598" s="78" t="n"/>
      <c r="E598" s="78" t="n"/>
      <c r="F598" s="78" t="n"/>
      <c r="G598" s="77" t="n"/>
      <c r="H598" s="77" t="n"/>
      <c r="I598" s="79" t="n"/>
      <c r="J598" s="110" t="n"/>
      <c r="K598" s="111" t="n"/>
      <c r="L598" s="112" t="n"/>
      <c r="M598" s="83" t="n"/>
      <c r="N598" s="84" t="n"/>
    </row>
    <row r="599" ht="15.75" customHeight="1">
      <c r="A599" s="76" t="n"/>
      <c r="B599" s="77" t="n"/>
      <c r="C599" s="78" t="n"/>
      <c r="E599" s="78" t="n"/>
      <c r="F599" s="78" t="n"/>
      <c r="G599" s="77" t="n"/>
      <c r="H599" s="77" t="n"/>
      <c r="I599" s="79" t="n"/>
      <c r="J599" s="110" t="n"/>
      <c r="K599" s="111" t="n"/>
      <c r="L599" s="112" t="n"/>
      <c r="M599" s="83" t="n"/>
      <c r="N599" s="84" t="n"/>
    </row>
    <row r="600" ht="15.75" customHeight="1">
      <c r="A600" s="76" t="n"/>
      <c r="B600" s="77" t="n"/>
      <c r="C600" s="78" t="n"/>
      <c r="E600" s="78" t="n"/>
      <c r="F600" s="78" t="n"/>
      <c r="G600" s="77" t="n"/>
      <c r="H600" s="77" t="n"/>
      <c r="I600" s="79" t="n"/>
      <c r="J600" s="110" t="n"/>
      <c r="K600" s="111" t="n"/>
      <c r="L600" s="112" t="n"/>
      <c r="M600" s="83" t="n"/>
      <c r="N600" s="84" t="n"/>
    </row>
    <row r="601" ht="15.75" customHeight="1">
      <c r="A601" s="76" t="n"/>
      <c r="B601" s="77" t="n"/>
      <c r="C601" s="78" t="n"/>
      <c r="E601" s="78" t="n"/>
      <c r="F601" s="78" t="n"/>
      <c r="G601" s="77" t="n"/>
      <c r="H601" s="77" t="n"/>
      <c r="I601" s="79" t="n"/>
      <c r="J601" s="110" t="n"/>
      <c r="K601" s="111" t="n"/>
      <c r="L601" s="112" t="n"/>
      <c r="M601" s="83" t="n"/>
      <c r="N601" s="84" t="n"/>
    </row>
    <row r="602" ht="15.75" customHeight="1">
      <c r="A602" s="76" t="n"/>
      <c r="B602" s="77" t="n"/>
      <c r="C602" s="78" t="n"/>
      <c r="E602" s="78" t="n"/>
      <c r="F602" s="78" t="n"/>
      <c r="G602" s="77" t="n"/>
      <c r="H602" s="77" t="n"/>
      <c r="I602" s="79" t="n"/>
      <c r="J602" s="110" t="n"/>
      <c r="K602" s="111" t="n"/>
      <c r="L602" s="112" t="n"/>
      <c r="M602" s="83" t="n"/>
      <c r="N602" s="84" t="n"/>
    </row>
    <row r="603" ht="15.75" customHeight="1">
      <c r="A603" s="76" t="n"/>
      <c r="B603" s="77" t="n"/>
      <c r="C603" s="78" t="n"/>
      <c r="E603" s="78" t="n"/>
      <c r="F603" s="78" t="n"/>
      <c r="G603" s="77" t="n"/>
      <c r="H603" s="77" t="n"/>
      <c r="I603" s="79" t="n"/>
      <c r="J603" s="110" t="n"/>
      <c r="K603" s="111" t="n"/>
      <c r="L603" s="112" t="n"/>
      <c r="M603" s="83" t="n"/>
      <c r="N603" s="84" t="n"/>
    </row>
    <row r="604" ht="15.75" customHeight="1">
      <c r="A604" s="76" t="n"/>
      <c r="B604" s="77" t="n"/>
      <c r="C604" s="78" t="n"/>
      <c r="E604" s="78" t="n"/>
      <c r="F604" s="78" t="n"/>
      <c r="G604" s="77" t="n"/>
      <c r="H604" s="77" t="n"/>
      <c r="I604" s="79" t="n"/>
      <c r="J604" s="110" t="n"/>
      <c r="K604" s="111" t="n"/>
      <c r="L604" s="112" t="n"/>
      <c r="M604" s="83" t="n"/>
      <c r="N604" s="84" t="n"/>
    </row>
    <row r="605" ht="15.75" customHeight="1">
      <c r="A605" s="76" t="n"/>
      <c r="B605" s="77" t="n"/>
      <c r="C605" s="78" t="n"/>
      <c r="E605" s="78" t="n"/>
      <c r="F605" s="78" t="n"/>
      <c r="G605" s="77" t="n"/>
      <c r="H605" s="77" t="n"/>
      <c r="I605" s="79" t="n"/>
      <c r="J605" s="110" t="n"/>
      <c r="K605" s="111" t="n"/>
      <c r="L605" s="112" t="n"/>
      <c r="M605" s="83" t="n"/>
      <c r="N605" s="84" t="n"/>
    </row>
    <row r="606" ht="15.75" customHeight="1">
      <c r="A606" s="76" t="n"/>
      <c r="B606" s="77" t="n"/>
      <c r="C606" s="78" t="n"/>
      <c r="E606" s="78" t="n"/>
      <c r="F606" s="78" t="n"/>
      <c r="G606" s="77" t="n"/>
      <c r="H606" s="77" t="n"/>
      <c r="I606" s="79" t="n"/>
      <c r="J606" s="110" t="n"/>
      <c r="K606" s="111" t="n"/>
      <c r="L606" s="112" t="n"/>
      <c r="M606" s="83" t="n"/>
      <c r="N606" s="84" t="n"/>
    </row>
    <row r="607" ht="15.75" customHeight="1">
      <c r="A607" s="76" t="n"/>
      <c r="B607" s="77" t="n"/>
      <c r="C607" s="78" t="n"/>
      <c r="E607" s="78" t="n"/>
      <c r="F607" s="78" t="n"/>
      <c r="G607" s="77" t="n"/>
      <c r="H607" s="77" t="n"/>
      <c r="I607" s="79" t="n"/>
      <c r="J607" s="110" t="n"/>
      <c r="K607" s="111" t="n"/>
      <c r="L607" s="112" t="n"/>
      <c r="M607" s="83" t="n"/>
      <c r="N607" s="84" t="n"/>
    </row>
    <row r="608" ht="15.75" customHeight="1">
      <c r="A608" s="76" t="n"/>
      <c r="B608" s="77" t="n"/>
      <c r="C608" s="78" t="n"/>
      <c r="E608" s="78" t="n"/>
      <c r="F608" s="78" t="n"/>
      <c r="G608" s="77" t="n"/>
      <c r="H608" s="77" t="n"/>
      <c r="I608" s="79" t="n"/>
      <c r="J608" s="110" t="n"/>
      <c r="K608" s="111" t="n"/>
      <c r="L608" s="112" t="n"/>
      <c r="M608" s="83" t="n"/>
      <c r="N608" s="84" t="n"/>
    </row>
    <row r="609" ht="15.75" customHeight="1">
      <c r="A609" s="76" t="n"/>
      <c r="B609" s="77" t="n"/>
      <c r="C609" s="78" t="n"/>
      <c r="E609" s="78" t="n"/>
      <c r="F609" s="78" t="n"/>
      <c r="G609" s="77" t="n"/>
      <c r="H609" s="77" t="n"/>
      <c r="I609" s="79" t="n"/>
      <c r="J609" s="110" t="n"/>
      <c r="K609" s="111" t="n"/>
      <c r="L609" s="112" t="n"/>
      <c r="M609" s="83" t="n"/>
      <c r="N609" s="84" t="n"/>
    </row>
    <row r="610" ht="15.75" customHeight="1">
      <c r="A610" s="76" t="n"/>
      <c r="B610" s="77" t="n"/>
      <c r="C610" s="78" t="n"/>
      <c r="E610" s="78" t="n"/>
      <c r="F610" s="78" t="n"/>
      <c r="G610" s="77" t="n"/>
      <c r="H610" s="77" t="n"/>
      <c r="I610" s="79" t="n"/>
      <c r="J610" s="110" t="n"/>
      <c r="K610" s="111" t="n"/>
      <c r="L610" s="112" t="n"/>
      <c r="M610" s="83" t="n"/>
      <c r="N610" s="84" t="n"/>
    </row>
    <row r="611" ht="15.75" customHeight="1">
      <c r="A611" s="76" t="n"/>
      <c r="B611" s="77" t="n"/>
      <c r="C611" s="78" t="n"/>
      <c r="E611" s="78" t="n"/>
      <c r="F611" s="78" t="n"/>
      <c r="G611" s="77" t="n"/>
      <c r="H611" s="77" t="n"/>
      <c r="I611" s="79" t="n"/>
      <c r="J611" s="110" t="n"/>
      <c r="K611" s="111" t="n"/>
      <c r="L611" s="112" t="n"/>
      <c r="M611" s="83" t="n"/>
      <c r="N611" s="84" t="n"/>
    </row>
    <row r="612" ht="15.75" customHeight="1">
      <c r="A612" s="76" t="n"/>
      <c r="B612" s="77" t="n"/>
      <c r="C612" s="78" t="n"/>
      <c r="E612" s="78" t="n"/>
      <c r="F612" s="78" t="n"/>
      <c r="G612" s="77" t="n"/>
      <c r="H612" s="77" t="n"/>
      <c r="I612" s="79" t="n"/>
      <c r="J612" s="110" t="n"/>
      <c r="K612" s="111" t="n"/>
      <c r="L612" s="112" t="n"/>
      <c r="M612" s="83" t="n"/>
      <c r="N612" s="84" t="n"/>
    </row>
    <row r="613" ht="15.75" customHeight="1">
      <c r="A613" s="76" t="n"/>
      <c r="B613" s="77" t="n"/>
      <c r="C613" s="78" t="n"/>
      <c r="E613" s="78" t="n"/>
      <c r="F613" s="78" t="n"/>
      <c r="G613" s="77" t="n"/>
      <c r="H613" s="77" t="n"/>
      <c r="I613" s="79" t="n"/>
      <c r="J613" s="110" t="n"/>
      <c r="K613" s="111" t="n"/>
      <c r="L613" s="112" t="n"/>
      <c r="M613" s="83" t="n"/>
      <c r="N613" s="84" t="n"/>
    </row>
    <row r="614" ht="15.75" customHeight="1">
      <c r="A614" s="76" t="n"/>
      <c r="B614" s="77" t="n"/>
      <c r="C614" s="78" t="n"/>
      <c r="E614" s="78" t="n"/>
      <c r="F614" s="78" t="n"/>
      <c r="G614" s="77" t="n"/>
      <c r="H614" s="77" t="n"/>
      <c r="I614" s="79" t="n"/>
      <c r="J614" s="110" t="n"/>
      <c r="K614" s="111" t="n"/>
      <c r="L614" s="112" t="n"/>
      <c r="M614" s="83" t="n"/>
      <c r="N614" s="84" t="n"/>
    </row>
    <row r="615" ht="15.75" customHeight="1">
      <c r="A615" s="76" t="n"/>
      <c r="B615" s="77" t="n"/>
      <c r="C615" s="78" t="n"/>
      <c r="E615" s="78" t="n"/>
      <c r="F615" s="78" t="n"/>
      <c r="G615" s="77" t="n"/>
      <c r="H615" s="77" t="n"/>
      <c r="I615" s="79" t="n"/>
      <c r="J615" s="110" t="n"/>
      <c r="K615" s="111" t="n"/>
      <c r="L615" s="112" t="n"/>
      <c r="M615" s="83" t="n"/>
      <c r="N615" s="84" t="n"/>
    </row>
    <row r="616" ht="15.75" customHeight="1">
      <c r="A616" s="76" t="n"/>
      <c r="B616" s="77" t="n"/>
      <c r="C616" s="78" t="n"/>
      <c r="E616" s="78" t="n"/>
      <c r="F616" s="78" t="n"/>
      <c r="G616" s="77" t="n"/>
      <c r="H616" s="77" t="n"/>
      <c r="I616" s="79" t="n"/>
      <c r="J616" s="110" t="n"/>
      <c r="K616" s="111" t="n"/>
      <c r="L616" s="112" t="n"/>
      <c r="M616" s="83" t="n"/>
      <c r="N616" s="84" t="n"/>
    </row>
    <row r="617" ht="15.75" customHeight="1">
      <c r="A617" s="76" t="n"/>
      <c r="B617" s="77" t="n"/>
      <c r="C617" s="78" t="n"/>
      <c r="E617" s="78" t="n"/>
      <c r="F617" s="78" t="n"/>
      <c r="G617" s="77" t="n"/>
      <c r="H617" s="77" t="n"/>
      <c r="I617" s="79" t="n"/>
      <c r="J617" s="110" t="n"/>
      <c r="K617" s="111" t="n"/>
      <c r="L617" s="112" t="n"/>
      <c r="M617" s="83" t="n"/>
      <c r="N617" s="84" t="n"/>
    </row>
    <row r="618" ht="15.75" customHeight="1">
      <c r="A618" s="76" t="n"/>
      <c r="B618" s="77" t="n"/>
      <c r="C618" s="78" t="n"/>
      <c r="E618" s="78" t="n"/>
      <c r="F618" s="78" t="n"/>
      <c r="G618" s="77" t="n"/>
      <c r="H618" s="77" t="n"/>
      <c r="I618" s="79" t="n"/>
      <c r="J618" s="110" t="n"/>
      <c r="K618" s="111" t="n"/>
      <c r="L618" s="112" t="n"/>
      <c r="M618" s="83" t="n"/>
      <c r="N618" s="84" t="n"/>
    </row>
    <row r="619" ht="15.75" customHeight="1">
      <c r="A619" s="76" t="n"/>
      <c r="B619" s="77" t="n"/>
      <c r="C619" s="78" t="n"/>
      <c r="E619" s="78" t="n"/>
      <c r="F619" s="78" t="n"/>
      <c r="G619" s="77" t="n"/>
      <c r="H619" s="77" t="n"/>
      <c r="I619" s="79" t="n"/>
      <c r="J619" s="110" t="n"/>
      <c r="K619" s="111" t="n"/>
      <c r="L619" s="112" t="n"/>
      <c r="M619" s="83" t="n"/>
      <c r="N619" s="84" t="n"/>
    </row>
    <row r="620" ht="15.75" customHeight="1">
      <c r="A620" s="76" t="n"/>
      <c r="B620" s="77" t="n"/>
      <c r="C620" s="78" t="n"/>
      <c r="E620" s="78" t="n"/>
      <c r="F620" s="78" t="n"/>
      <c r="G620" s="77" t="n"/>
      <c r="H620" s="77" t="n"/>
      <c r="I620" s="79" t="n"/>
      <c r="J620" s="110" t="n"/>
      <c r="K620" s="111" t="n"/>
      <c r="L620" s="112" t="n"/>
      <c r="M620" s="83" t="n"/>
      <c r="N620" s="84" t="n"/>
    </row>
    <row r="621" ht="15.75" customHeight="1">
      <c r="A621" s="76" t="n"/>
      <c r="B621" s="77" t="n"/>
      <c r="C621" s="78" t="n"/>
      <c r="E621" s="78" t="n"/>
      <c r="F621" s="78" t="n"/>
      <c r="G621" s="77" t="n"/>
      <c r="H621" s="77" t="n"/>
      <c r="I621" s="79" t="n"/>
      <c r="J621" s="110" t="n"/>
      <c r="K621" s="111" t="n"/>
      <c r="L621" s="112" t="n"/>
      <c r="M621" s="83" t="n"/>
      <c r="N621" s="84" t="n"/>
    </row>
    <row r="622" ht="15.75" customHeight="1">
      <c r="A622" s="76" t="n"/>
      <c r="B622" s="77" t="n"/>
      <c r="C622" s="78" t="n"/>
      <c r="E622" s="78" t="n"/>
      <c r="F622" s="78" t="n"/>
      <c r="G622" s="77" t="n"/>
      <c r="H622" s="77" t="n"/>
      <c r="I622" s="79" t="n"/>
      <c r="J622" s="110" t="n"/>
      <c r="K622" s="111" t="n"/>
      <c r="L622" s="112" t="n"/>
      <c r="M622" s="83" t="n"/>
      <c r="N622" s="84" t="n"/>
    </row>
    <row r="623" ht="15.75" customHeight="1">
      <c r="A623" s="76" t="n"/>
      <c r="B623" s="77" t="n"/>
      <c r="C623" s="78" t="n"/>
      <c r="E623" s="78" t="n"/>
      <c r="F623" s="78" t="n"/>
      <c r="G623" s="77" t="n"/>
      <c r="H623" s="77" t="n"/>
      <c r="I623" s="79" t="n"/>
      <c r="J623" s="110" t="n"/>
      <c r="K623" s="111" t="n"/>
      <c r="L623" s="112" t="n"/>
      <c r="M623" s="83" t="n"/>
      <c r="N623" s="84" t="n"/>
    </row>
    <row r="624" ht="15.75" customHeight="1">
      <c r="A624" s="76" t="n"/>
      <c r="B624" s="77" t="n"/>
      <c r="C624" s="78" t="n"/>
      <c r="E624" s="78" t="n"/>
      <c r="F624" s="78" t="n"/>
      <c r="G624" s="77" t="n"/>
      <c r="H624" s="77" t="n"/>
      <c r="I624" s="79" t="n"/>
      <c r="J624" s="110" t="n"/>
      <c r="K624" s="111" t="n"/>
      <c r="L624" s="112" t="n"/>
      <c r="M624" s="83" t="n"/>
      <c r="N624" s="84" t="n"/>
    </row>
    <row r="625" ht="15.75" customHeight="1">
      <c r="A625" s="76" t="n"/>
      <c r="B625" s="77" t="n"/>
      <c r="C625" s="78" t="n"/>
      <c r="E625" s="78" t="n"/>
      <c r="F625" s="78" t="n"/>
      <c r="G625" s="77" t="n"/>
      <c r="H625" s="77" t="n"/>
      <c r="I625" s="79" t="n"/>
      <c r="J625" s="110" t="n"/>
      <c r="K625" s="111" t="n"/>
      <c r="L625" s="112" t="n"/>
      <c r="M625" s="83" t="n"/>
      <c r="N625" s="84" t="n"/>
    </row>
    <row r="626" ht="15.75" customHeight="1">
      <c r="A626" s="76" t="n"/>
      <c r="B626" s="77" t="n"/>
      <c r="C626" s="78" t="n"/>
      <c r="E626" s="78" t="n"/>
      <c r="F626" s="78" t="n"/>
      <c r="G626" s="77" t="n"/>
      <c r="H626" s="77" t="n"/>
      <c r="I626" s="79" t="n"/>
      <c r="J626" s="110" t="n"/>
      <c r="K626" s="111" t="n"/>
      <c r="L626" s="112" t="n"/>
      <c r="M626" s="83" t="n"/>
      <c r="N626" s="84" t="n"/>
    </row>
    <row r="627" ht="15.75" customHeight="1">
      <c r="A627" s="76" t="n"/>
      <c r="B627" s="77" t="n"/>
      <c r="C627" s="78" t="n"/>
      <c r="E627" s="78" t="n"/>
      <c r="F627" s="78" t="n"/>
      <c r="G627" s="77" t="n"/>
      <c r="H627" s="77" t="n"/>
      <c r="I627" s="79" t="n"/>
      <c r="J627" s="110" t="n"/>
      <c r="K627" s="111" t="n"/>
      <c r="L627" s="112" t="n"/>
      <c r="M627" s="83" t="n"/>
      <c r="N627" s="84" t="n"/>
    </row>
    <row r="628" ht="15.75" customHeight="1">
      <c r="A628" s="76" t="n"/>
      <c r="B628" s="77" t="n"/>
      <c r="C628" s="78" t="n"/>
      <c r="E628" s="78" t="n"/>
      <c r="F628" s="78" t="n"/>
      <c r="G628" s="77" t="n"/>
      <c r="H628" s="77" t="n"/>
      <c r="I628" s="79" t="n"/>
      <c r="J628" s="110" t="n"/>
      <c r="K628" s="111" t="n"/>
      <c r="L628" s="112" t="n"/>
      <c r="M628" s="83" t="n"/>
      <c r="N628" s="84" t="n"/>
    </row>
    <row r="629" ht="15.75" customHeight="1">
      <c r="A629" s="76" t="n"/>
      <c r="B629" s="77" t="n"/>
      <c r="C629" s="78" t="n"/>
      <c r="E629" s="78" t="n"/>
      <c r="F629" s="78" t="n"/>
      <c r="G629" s="77" t="n"/>
      <c r="H629" s="77" t="n"/>
      <c r="I629" s="79" t="n"/>
      <c r="J629" s="110" t="n"/>
      <c r="K629" s="111" t="n"/>
      <c r="L629" s="112" t="n"/>
      <c r="M629" s="83" t="n"/>
      <c r="N629" s="84" t="n"/>
    </row>
    <row r="630" ht="15.75" customHeight="1">
      <c r="A630" s="76" t="n"/>
      <c r="B630" s="77" t="n"/>
      <c r="C630" s="78" t="n"/>
      <c r="E630" s="78" t="n"/>
      <c r="F630" s="78" t="n"/>
      <c r="G630" s="77" t="n"/>
      <c r="H630" s="77" t="n"/>
      <c r="I630" s="79" t="n"/>
      <c r="J630" s="110" t="n"/>
      <c r="K630" s="111" t="n"/>
      <c r="L630" s="112" t="n"/>
      <c r="M630" s="83" t="n"/>
      <c r="N630" s="84" t="n"/>
    </row>
    <row r="631" ht="15.75" customHeight="1">
      <c r="A631" s="76" t="n"/>
      <c r="B631" s="77" t="n"/>
      <c r="C631" s="78" t="n"/>
      <c r="E631" s="78" t="n"/>
      <c r="F631" s="78" t="n"/>
      <c r="G631" s="77" t="n"/>
      <c r="H631" s="77" t="n"/>
      <c r="I631" s="79" t="n"/>
      <c r="J631" s="110" t="n"/>
      <c r="K631" s="111" t="n"/>
      <c r="L631" s="112" t="n"/>
      <c r="M631" s="83" t="n"/>
      <c r="N631" s="84" t="n"/>
    </row>
    <row r="632" ht="15.75" customHeight="1">
      <c r="A632" s="76" t="n"/>
      <c r="B632" s="77" t="n"/>
      <c r="C632" s="78" t="n"/>
      <c r="E632" s="78" t="n"/>
      <c r="F632" s="78" t="n"/>
      <c r="G632" s="77" t="n"/>
      <c r="H632" s="77" t="n"/>
      <c r="I632" s="79" t="n"/>
      <c r="J632" s="110" t="n"/>
      <c r="K632" s="111" t="n"/>
      <c r="L632" s="112" t="n"/>
      <c r="M632" s="83" t="n"/>
      <c r="N632" s="84" t="n"/>
    </row>
    <row r="633" ht="15.75" customHeight="1">
      <c r="A633" s="76" t="n"/>
      <c r="B633" s="77" t="n"/>
      <c r="C633" s="78" t="n"/>
      <c r="E633" s="78" t="n"/>
      <c r="F633" s="78" t="n"/>
      <c r="G633" s="77" t="n"/>
      <c r="H633" s="77" t="n"/>
      <c r="I633" s="79" t="n"/>
      <c r="J633" s="110" t="n"/>
      <c r="K633" s="111" t="n"/>
      <c r="L633" s="112" t="n"/>
      <c r="M633" s="83" t="n"/>
      <c r="N633" s="84" t="n"/>
    </row>
    <row r="634" ht="15.75" customHeight="1">
      <c r="A634" s="76" t="n"/>
      <c r="B634" s="77" t="n"/>
      <c r="C634" s="78" t="n"/>
      <c r="E634" s="78" t="n"/>
      <c r="F634" s="78" t="n"/>
      <c r="G634" s="77" t="n"/>
      <c r="H634" s="77" t="n"/>
      <c r="I634" s="79" t="n"/>
      <c r="J634" s="110" t="n"/>
      <c r="K634" s="111" t="n"/>
      <c r="L634" s="112" t="n"/>
      <c r="M634" s="83" t="n"/>
      <c r="N634" s="84" t="n"/>
    </row>
    <row r="635" ht="15.75" customHeight="1">
      <c r="A635" s="76" t="n"/>
      <c r="B635" s="77" t="n"/>
      <c r="C635" s="78" t="n"/>
      <c r="E635" s="78" t="n"/>
      <c r="F635" s="78" t="n"/>
      <c r="G635" s="77" t="n"/>
      <c r="H635" s="77" t="n"/>
      <c r="I635" s="79" t="n"/>
      <c r="J635" s="110" t="n"/>
      <c r="K635" s="111" t="n"/>
      <c r="L635" s="112" t="n"/>
      <c r="M635" s="83" t="n"/>
      <c r="N635" s="84" t="n"/>
    </row>
    <row r="636" ht="15.75" customHeight="1">
      <c r="A636" s="76" t="n"/>
      <c r="B636" s="77" t="n"/>
      <c r="C636" s="78" t="n"/>
      <c r="E636" s="78" t="n"/>
      <c r="F636" s="78" t="n"/>
      <c r="G636" s="77" t="n"/>
      <c r="H636" s="77" t="n"/>
      <c r="I636" s="79" t="n"/>
      <c r="J636" s="110" t="n"/>
      <c r="K636" s="111" t="n"/>
      <c r="L636" s="112" t="n"/>
      <c r="M636" s="83" t="n"/>
      <c r="N636" s="84" t="n"/>
    </row>
    <row r="637" ht="15.75" customHeight="1">
      <c r="A637" s="76" t="n"/>
      <c r="B637" s="77" t="n"/>
      <c r="C637" s="78" t="n"/>
      <c r="E637" s="78" t="n"/>
      <c r="F637" s="78" t="n"/>
      <c r="G637" s="77" t="n"/>
      <c r="H637" s="77" t="n"/>
      <c r="I637" s="79" t="n"/>
      <c r="J637" s="110" t="n"/>
      <c r="K637" s="111" t="n"/>
      <c r="L637" s="112" t="n"/>
      <c r="M637" s="83" t="n"/>
      <c r="N637" s="84" t="n"/>
    </row>
    <row r="638" ht="15.75" customHeight="1">
      <c r="A638" s="76" t="n"/>
      <c r="B638" s="77" t="n"/>
      <c r="C638" s="78" t="n"/>
      <c r="E638" s="78" t="n"/>
      <c r="F638" s="78" t="n"/>
      <c r="G638" s="77" t="n"/>
      <c r="H638" s="77" t="n"/>
      <c r="I638" s="79" t="n"/>
      <c r="J638" s="110" t="n"/>
      <c r="K638" s="111" t="n"/>
      <c r="L638" s="112" t="n"/>
      <c r="M638" s="83" t="n"/>
      <c r="N638" s="84" t="n"/>
    </row>
    <row r="639" ht="15.75" customHeight="1">
      <c r="A639" s="76" t="n"/>
      <c r="B639" s="77" t="n"/>
      <c r="C639" s="78" t="n"/>
      <c r="E639" s="78" t="n"/>
      <c r="F639" s="78" t="n"/>
      <c r="G639" s="77" t="n"/>
      <c r="H639" s="77" t="n"/>
      <c r="I639" s="79" t="n"/>
      <c r="J639" s="110" t="n"/>
      <c r="K639" s="111" t="n"/>
      <c r="L639" s="112" t="n"/>
      <c r="M639" s="83" t="n"/>
      <c r="N639" s="84" t="n"/>
    </row>
    <row r="640" ht="15.75" customHeight="1">
      <c r="A640" s="76" t="n"/>
      <c r="B640" s="77" t="n"/>
      <c r="C640" s="78" t="n"/>
      <c r="E640" s="78" t="n"/>
      <c r="F640" s="78" t="n"/>
      <c r="G640" s="77" t="n"/>
      <c r="H640" s="77" t="n"/>
      <c r="I640" s="79" t="n"/>
      <c r="J640" s="110" t="n"/>
      <c r="K640" s="111" t="n"/>
      <c r="L640" s="112" t="n"/>
      <c r="M640" s="83" t="n"/>
      <c r="N640" s="84" t="n"/>
    </row>
    <row r="641" ht="15.75" customHeight="1">
      <c r="A641" s="76" t="n"/>
      <c r="B641" s="77" t="n"/>
      <c r="C641" s="78" t="n"/>
      <c r="E641" s="78" t="n"/>
      <c r="F641" s="78" t="n"/>
      <c r="G641" s="77" t="n"/>
      <c r="H641" s="77" t="n"/>
      <c r="I641" s="79" t="n"/>
      <c r="J641" s="110" t="n"/>
      <c r="K641" s="111" t="n"/>
      <c r="L641" s="112" t="n"/>
      <c r="M641" s="83" t="n"/>
      <c r="N641" s="84" t="n"/>
    </row>
    <row r="642" ht="15.75" customHeight="1">
      <c r="A642" s="76" t="n"/>
      <c r="B642" s="77" t="n"/>
      <c r="C642" s="78" t="n"/>
      <c r="E642" s="78" t="n"/>
      <c r="F642" s="78" t="n"/>
      <c r="G642" s="77" t="n"/>
      <c r="H642" s="77" t="n"/>
      <c r="I642" s="79" t="n"/>
      <c r="J642" s="110" t="n"/>
      <c r="K642" s="111" t="n"/>
      <c r="L642" s="112" t="n"/>
      <c r="M642" s="83" t="n"/>
      <c r="N642" s="84" t="n"/>
    </row>
    <row r="643" ht="15.75" customHeight="1">
      <c r="A643" s="76" t="n"/>
      <c r="B643" s="77" t="n"/>
      <c r="C643" s="78" t="n"/>
      <c r="E643" s="78" t="n"/>
      <c r="F643" s="78" t="n"/>
      <c r="G643" s="77" t="n"/>
      <c r="H643" s="77" t="n"/>
      <c r="I643" s="79" t="n"/>
      <c r="J643" s="110" t="n"/>
      <c r="K643" s="111" t="n"/>
      <c r="L643" s="112" t="n"/>
      <c r="M643" s="83" t="n"/>
      <c r="N643" s="84" t="n"/>
    </row>
    <row r="644" ht="15.75" customHeight="1">
      <c r="A644" s="76" t="n"/>
      <c r="B644" s="77" t="n"/>
      <c r="C644" s="78" t="n"/>
      <c r="E644" s="78" t="n"/>
      <c r="F644" s="78" t="n"/>
      <c r="G644" s="77" t="n"/>
      <c r="H644" s="77" t="n"/>
      <c r="I644" s="79" t="n"/>
      <c r="J644" s="110" t="n"/>
      <c r="K644" s="111" t="n"/>
      <c r="L644" s="112" t="n"/>
      <c r="M644" s="83" t="n"/>
      <c r="N644" s="84" t="n"/>
    </row>
    <row r="645" ht="15.75" customHeight="1">
      <c r="A645" s="76" t="n"/>
      <c r="B645" s="77" t="n"/>
      <c r="C645" s="78" t="n"/>
      <c r="E645" s="78" t="n"/>
      <c r="F645" s="78" t="n"/>
      <c r="G645" s="77" t="n"/>
      <c r="H645" s="77" t="n"/>
      <c r="I645" s="79" t="n"/>
      <c r="J645" s="110" t="n"/>
      <c r="K645" s="111" t="n"/>
      <c r="L645" s="112" t="n"/>
      <c r="M645" s="83" t="n"/>
      <c r="N645" s="84" t="n"/>
    </row>
    <row r="646" ht="15.75" customHeight="1">
      <c r="A646" s="76" t="n"/>
      <c r="B646" s="77" t="n"/>
      <c r="C646" s="78" t="n"/>
      <c r="E646" s="78" t="n"/>
      <c r="F646" s="78" t="n"/>
      <c r="G646" s="77" t="n"/>
      <c r="H646" s="77" t="n"/>
      <c r="I646" s="79" t="n"/>
      <c r="J646" s="110" t="n"/>
      <c r="K646" s="111" t="n"/>
      <c r="L646" s="112" t="n"/>
      <c r="M646" s="83" t="n"/>
      <c r="N646" s="84" t="n"/>
    </row>
    <row r="647" ht="15.75" customHeight="1">
      <c r="A647" s="76" t="n"/>
      <c r="B647" s="77" t="n"/>
      <c r="C647" s="78" t="n"/>
      <c r="E647" s="78" t="n"/>
      <c r="F647" s="78" t="n"/>
      <c r="G647" s="77" t="n"/>
      <c r="H647" s="77" t="n"/>
      <c r="I647" s="79" t="n"/>
      <c r="J647" s="110" t="n"/>
      <c r="K647" s="111" t="n"/>
      <c r="L647" s="112" t="n"/>
      <c r="M647" s="83" t="n"/>
      <c r="N647" s="84" t="n"/>
    </row>
    <row r="648" ht="15.75" customHeight="1">
      <c r="A648" s="76" t="n"/>
      <c r="B648" s="77" t="n"/>
      <c r="C648" s="78" t="n"/>
      <c r="E648" s="78" t="n"/>
      <c r="F648" s="78" t="n"/>
      <c r="G648" s="77" t="n"/>
      <c r="H648" s="77" t="n"/>
      <c r="I648" s="79" t="n"/>
      <c r="J648" s="110" t="n"/>
      <c r="K648" s="111" t="n"/>
      <c r="L648" s="112" t="n"/>
      <c r="M648" s="83" t="n"/>
      <c r="N648" s="84" t="n"/>
    </row>
    <row r="649" ht="15.75" customHeight="1">
      <c r="A649" s="76" t="n"/>
      <c r="B649" s="77" t="n"/>
      <c r="C649" s="78" t="n"/>
      <c r="E649" s="78" t="n"/>
      <c r="F649" s="78" t="n"/>
      <c r="G649" s="77" t="n"/>
      <c r="H649" s="77" t="n"/>
      <c r="I649" s="79" t="n"/>
      <c r="J649" s="110" t="n"/>
      <c r="K649" s="111" t="n"/>
      <c r="L649" s="112" t="n"/>
      <c r="M649" s="83" t="n"/>
      <c r="N649" s="84" t="n"/>
    </row>
    <row r="650" ht="15.75" customHeight="1">
      <c r="A650" s="76" t="n"/>
      <c r="B650" s="77" t="n"/>
      <c r="C650" s="78" t="n"/>
      <c r="E650" s="78" t="n"/>
      <c r="F650" s="78" t="n"/>
      <c r="G650" s="77" t="n"/>
      <c r="H650" s="77" t="n"/>
      <c r="I650" s="79" t="n"/>
      <c r="J650" s="110" t="n"/>
      <c r="K650" s="111" t="n"/>
      <c r="L650" s="112" t="n"/>
      <c r="M650" s="83" t="n"/>
      <c r="N650" s="84" t="n"/>
    </row>
    <row r="651" ht="15.75" customHeight="1">
      <c r="A651" s="76" t="n"/>
      <c r="B651" s="77" t="n"/>
      <c r="C651" s="78" t="n"/>
      <c r="E651" s="78" t="n"/>
      <c r="F651" s="78" t="n"/>
      <c r="G651" s="77" t="n"/>
      <c r="H651" s="77" t="n"/>
      <c r="I651" s="79" t="n"/>
      <c r="J651" s="110" t="n"/>
      <c r="K651" s="111" t="n"/>
      <c r="L651" s="112" t="n"/>
      <c r="M651" s="83" t="n"/>
      <c r="N651" s="84" t="n"/>
    </row>
    <row r="652" ht="15.75" customHeight="1">
      <c r="A652" s="76" t="n"/>
      <c r="B652" s="77" t="n"/>
      <c r="C652" s="78" t="n"/>
      <c r="E652" s="78" t="n"/>
      <c r="F652" s="78" t="n"/>
      <c r="G652" s="77" t="n"/>
      <c r="H652" s="77" t="n"/>
      <c r="I652" s="79" t="n"/>
      <c r="J652" s="110" t="n"/>
      <c r="K652" s="111" t="n"/>
      <c r="L652" s="112" t="n"/>
      <c r="M652" s="83" t="n"/>
      <c r="N652" s="84" t="n"/>
    </row>
    <row r="653" ht="15.75" customHeight="1">
      <c r="A653" s="76" t="n"/>
      <c r="B653" s="77" t="n"/>
      <c r="C653" s="78" t="n"/>
      <c r="E653" s="78" t="n"/>
      <c r="F653" s="78" t="n"/>
      <c r="G653" s="77" t="n"/>
      <c r="H653" s="77" t="n"/>
      <c r="I653" s="79" t="n"/>
      <c r="J653" s="110" t="n"/>
      <c r="K653" s="111" t="n"/>
      <c r="L653" s="112" t="n"/>
      <c r="M653" s="83" t="n"/>
      <c r="N653" s="84" t="n"/>
    </row>
    <row r="654" ht="15.75" customHeight="1">
      <c r="A654" s="76" t="n"/>
      <c r="B654" s="77" t="n"/>
      <c r="C654" s="78" t="n"/>
      <c r="E654" s="78" t="n"/>
      <c r="F654" s="78" t="n"/>
      <c r="G654" s="77" t="n"/>
      <c r="H654" s="77" t="n"/>
      <c r="I654" s="79" t="n"/>
      <c r="J654" s="110" t="n"/>
      <c r="K654" s="111" t="n"/>
      <c r="L654" s="112" t="n"/>
      <c r="M654" s="83" t="n"/>
      <c r="N654" s="84" t="n"/>
    </row>
    <row r="655" ht="15.75" customHeight="1">
      <c r="A655" s="76" t="n"/>
      <c r="B655" s="77" t="n"/>
      <c r="C655" s="78" t="n"/>
      <c r="E655" s="78" t="n"/>
      <c r="F655" s="78" t="n"/>
      <c r="G655" s="77" t="n"/>
      <c r="H655" s="77" t="n"/>
      <c r="I655" s="79" t="n"/>
      <c r="J655" s="110" t="n"/>
      <c r="K655" s="111" t="n"/>
      <c r="L655" s="112" t="n"/>
      <c r="M655" s="83" t="n"/>
      <c r="N655" s="84" t="n"/>
    </row>
    <row r="656" ht="15.75" customHeight="1">
      <c r="A656" s="76" t="n"/>
      <c r="B656" s="77" t="n"/>
      <c r="C656" s="78" t="n"/>
      <c r="E656" s="78" t="n"/>
      <c r="F656" s="78" t="n"/>
      <c r="G656" s="77" t="n"/>
      <c r="H656" s="77" t="n"/>
      <c r="I656" s="79" t="n"/>
      <c r="J656" s="110" t="n"/>
      <c r="K656" s="111" t="n"/>
      <c r="L656" s="112" t="n"/>
      <c r="M656" s="83" t="n"/>
      <c r="N656" s="84" t="n"/>
    </row>
    <row r="657" ht="15.75" customHeight="1">
      <c r="A657" s="76" t="n"/>
      <c r="B657" s="77" t="n"/>
      <c r="C657" s="78" t="n"/>
      <c r="E657" s="78" t="n"/>
      <c r="F657" s="78" t="n"/>
      <c r="G657" s="77" t="n"/>
      <c r="H657" s="77" t="n"/>
      <c r="I657" s="79" t="n"/>
      <c r="J657" s="110" t="n"/>
      <c r="K657" s="111" t="n"/>
      <c r="L657" s="112" t="n"/>
      <c r="M657" s="83" t="n"/>
      <c r="N657" s="84" t="n"/>
    </row>
    <row r="658" ht="15.75" customHeight="1">
      <c r="A658" s="76" t="n"/>
      <c r="B658" s="77" t="n"/>
      <c r="C658" s="78" t="n"/>
      <c r="E658" s="78" t="n"/>
      <c r="F658" s="78" t="n"/>
      <c r="G658" s="77" t="n"/>
      <c r="H658" s="77" t="n"/>
      <c r="I658" s="79" t="n"/>
      <c r="J658" s="110" t="n"/>
      <c r="K658" s="111" t="n"/>
      <c r="L658" s="112" t="n"/>
      <c r="M658" s="83" t="n"/>
      <c r="N658" s="84" t="n"/>
    </row>
    <row r="659" ht="15.75" customHeight="1">
      <c r="A659" s="76" t="n"/>
      <c r="B659" s="77" t="n"/>
      <c r="C659" s="78" t="n"/>
      <c r="E659" s="78" t="n"/>
      <c r="F659" s="78" t="n"/>
      <c r="G659" s="77" t="n"/>
      <c r="H659" s="77" t="n"/>
      <c r="I659" s="79" t="n"/>
      <c r="J659" s="110" t="n"/>
      <c r="K659" s="111" t="n"/>
      <c r="L659" s="112" t="n"/>
      <c r="M659" s="83" t="n"/>
      <c r="N659" s="84" t="n"/>
    </row>
    <row r="660" ht="15.75" customHeight="1">
      <c r="A660" s="76" t="n"/>
      <c r="B660" s="77" t="n"/>
      <c r="C660" s="78" t="n"/>
      <c r="E660" s="78" t="n"/>
      <c r="F660" s="78" t="n"/>
      <c r="G660" s="77" t="n"/>
      <c r="H660" s="77" t="n"/>
      <c r="I660" s="79" t="n"/>
      <c r="J660" s="110" t="n"/>
      <c r="K660" s="111" t="n"/>
      <c r="L660" s="112" t="n"/>
      <c r="M660" s="83" t="n"/>
      <c r="N660" s="84" t="n"/>
    </row>
    <row r="661" ht="15.75" customHeight="1">
      <c r="A661" s="76" t="n"/>
      <c r="B661" s="77" t="n"/>
      <c r="C661" s="78" t="n"/>
      <c r="E661" s="78" t="n"/>
      <c r="F661" s="78" t="n"/>
      <c r="G661" s="77" t="n"/>
      <c r="H661" s="77" t="n"/>
      <c r="I661" s="79" t="n"/>
      <c r="J661" s="110" t="n"/>
      <c r="K661" s="111" t="n"/>
      <c r="L661" s="112" t="n"/>
      <c r="M661" s="83" t="n"/>
      <c r="N661" s="84" t="n"/>
    </row>
    <row r="662" ht="15.75" customHeight="1">
      <c r="A662" s="76" t="n"/>
      <c r="B662" s="77" t="n"/>
      <c r="C662" s="78" t="n"/>
      <c r="E662" s="78" t="n"/>
      <c r="F662" s="78" t="n"/>
      <c r="G662" s="77" t="n"/>
      <c r="H662" s="77" t="n"/>
      <c r="I662" s="79" t="n"/>
      <c r="J662" s="110" t="n"/>
      <c r="K662" s="111" t="n"/>
      <c r="L662" s="112" t="n"/>
      <c r="M662" s="83" t="n"/>
      <c r="N662" s="84" t="n"/>
    </row>
    <row r="663" ht="15.75" customHeight="1">
      <c r="A663" s="76" t="n"/>
      <c r="B663" s="77" t="n"/>
      <c r="C663" s="78" t="n"/>
      <c r="E663" s="78" t="n"/>
      <c r="F663" s="78" t="n"/>
      <c r="G663" s="77" t="n"/>
      <c r="H663" s="77" t="n"/>
      <c r="I663" s="79" t="n"/>
      <c r="J663" s="110" t="n"/>
      <c r="K663" s="111" t="n"/>
      <c r="L663" s="112" t="n"/>
      <c r="M663" s="83" t="n"/>
      <c r="N663" s="84" t="n"/>
    </row>
    <row r="664" ht="15.75" customHeight="1">
      <c r="A664" s="76" t="n"/>
      <c r="B664" s="77" t="n"/>
      <c r="C664" s="78" t="n"/>
      <c r="E664" s="78" t="n"/>
      <c r="F664" s="78" t="n"/>
      <c r="G664" s="77" t="n"/>
      <c r="H664" s="77" t="n"/>
      <c r="I664" s="79" t="n"/>
      <c r="J664" s="110" t="n"/>
      <c r="K664" s="111" t="n"/>
      <c r="L664" s="112" t="n"/>
      <c r="M664" s="83" t="n"/>
      <c r="N664" s="84" t="n"/>
    </row>
    <row r="665" ht="15.75" customHeight="1">
      <c r="A665" s="76" t="n"/>
      <c r="B665" s="77" t="n"/>
      <c r="C665" s="78" t="n"/>
      <c r="E665" s="78" t="n"/>
      <c r="F665" s="78" t="n"/>
      <c r="G665" s="77" t="n"/>
      <c r="H665" s="77" t="n"/>
      <c r="I665" s="79" t="n"/>
      <c r="J665" s="110" t="n"/>
      <c r="K665" s="111" t="n"/>
      <c r="L665" s="112" t="n"/>
      <c r="M665" s="83" t="n"/>
      <c r="N665" s="84" t="n"/>
    </row>
    <row r="666" ht="15.75" customHeight="1">
      <c r="A666" s="76" t="n"/>
      <c r="B666" s="77" t="n"/>
      <c r="C666" s="78" t="n"/>
      <c r="E666" s="78" t="n"/>
      <c r="F666" s="78" t="n"/>
      <c r="G666" s="77" t="n"/>
      <c r="H666" s="77" t="n"/>
      <c r="I666" s="79" t="n"/>
      <c r="J666" s="110" t="n"/>
      <c r="K666" s="111" t="n"/>
      <c r="L666" s="112" t="n"/>
      <c r="M666" s="83" t="n"/>
      <c r="N666" s="84" t="n"/>
    </row>
    <row r="667" ht="15.75" customHeight="1">
      <c r="A667" s="76" t="n"/>
      <c r="B667" s="77" t="n"/>
      <c r="C667" s="78" t="n"/>
      <c r="E667" s="78" t="n"/>
      <c r="F667" s="78" t="n"/>
      <c r="G667" s="77" t="n"/>
      <c r="H667" s="77" t="n"/>
      <c r="I667" s="79" t="n"/>
      <c r="J667" s="110" t="n"/>
      <c r="K667" s="111" t="n"/>
      <c r="L667" s="112" t="n"/>
      <c r="M667" s="83" t="n"/>
      <c r="N667" s="84" t="n"/>
    </row>
    <row r="668" ht="15.75" customHeight="1">
      <c r="A668" s="76" t="n"/>
      <c r="B668" s="77" t="n"/>
      <c r="C668" s="78" t="n"/>
      <c r="E668" s="78" t="n"/>
      <c r="F668" s="78" t="n"/>
      <c r="G668" s="77" t="n"/>
      <c r="H668" s="77" t="n"/>
      <c r="I668" s="79" t="n"/>
      <c r="J668" s="110" t="n"/>
      <c r="K668" s="111" t="n"/>
      <c r="L668" s="112" t="n"/>
      <c r="M668" s="83" t="n"/>
      <c r="N668" s="84" t="n"/>
    </row>
    <row r="669" ht="15.75" customHeight="1">
      <c r="A669" s="76" t="n"/>
      <c r="B669" s="77" t="n"/>
      <c r="C669" s="78" t="n"/>
      <c r="E669" s="78" t="n"/>
      <c r="F669" s="78" t="n"/>
      <c r="G669" s="77" t="n"/>
      <c r="H669" s="77" t="n"/>
      <c r="I669" s="79" t="n"/>
      <c r="J669" s="110" t="n"/>
      <c r="K669" s="111" t="n"/>
      <c r="L669" s="112" t="n"/>
      <c r="M669" s="83" t="n"/>
      <c r="N669" s="84" t="n"/>
    </row>
    <row r="670" ht="15.75" customHeight="1">
      <c r="A670" s="76" t="n"/>
      <c r="B670" s="77" t="n"/>
      <c r="C670" s="78" t="n"/>
      <c r="E670" s="78" t="n"/>
      <c r="F670" s="78" t="n"/>
      <c r="G670" s="77" t="n"/>
      <c r="H670" s="77" t="n"/>
      <c r="I670" s="79" t="n"/>
      <c r="J670" s="110" t="n"/>
      <c r="K670" s="111" t="n"/>
      <c r="L670" s="112" t="n"/>
      <c r="M670" s="83" t="n"/>
      <c r="N670" s="84" t="n"/>
    </row>
    <row r="671" ht="15.75" customHeight="1">
      <c r="A671" s="76" t="n"/>
      <c r="B671" s="77" t="n"/>
      <c r="C671" s="78" t="n"/>
      <c r="E671" s="78" t="n"/>
      <c r="F671" s="78" t="n"/>
      <c r="G671" s="77" t="n"/>
      <c r="H671" s="77" t="n"/>
      <c r="I671" s="79" t="n"/>
      <c r="J671" s="110" t="n"/>
      <c r="K671" s="111" t="n"/>
      <c r="L671" s="112" t="n"/>
      <c r="M671" s="83" t="n"/>
      <c r="N671" s="84" t="n"/>
    </row>
    <row r="672" ht="15.75" customHeight="1">
      <c r="A672" s="76" t="n"/>
      <c r="B672" s="77" t="n"/>
      <c r="C672" s="78" t="n"/>
      <c r="E672" s="78" t="n"/>
      <c r="F672" s="78" t="n"/>
      <c r="G672" s="77" t="n"/>
      <c r="H672" s="77" t="n"/>
      <c r="I672" s="79" t="n"/>
      <c r="J672" s="110" t="n"/>
      <c r="K672" s="111" t="n"/>
      <c r="L672" s="112" t="n"/>
      <c r="M672" s="83" t="n"/>
      <c r="N672" s="84" t="n"/>
    </row>
    <row r="673" ht="15.75" customHeight="1">
      <c r="A673" s="76" t="n"/>
      <c r="B673" s="77" t="n"/>
      <c r="C673" s="78" t="n"/>
      <c r="E673" s="78" t="n"/>
      <c r="F673" s="78" t="n"/>
      <c r="G673" s="77" t="n"/>
      <c r="H673" s="77" t="n"/>
      <c r="I673" s="79" t="n"/>
      <c r="J673" s="110" t="n"/>
      <c r="K673" s="111" t="n"/>
      <c r="L673" s="112" t="n"/>
      <c r="M673" s="83" t="n"/>
      <c r="N673" s="84" t="n"/>
    </row>
    <row r="674" ht="15.75" customHeight="1">
      <c r="A674" s="76" t="n"/>
      <c r="B674" s="77" t="n"/>
      <c r="C674" s="78" t="n"/>
      <c r="E674" s="78" t="n"/>
      <c r="F674" s="78" t="n"/>
      <c r="G674" s="77" t="n"/>
      <c r="H674" s="77" t="n"/>
      <c r="I674" s="79" t="n"/>
      <c r="J674" s="110" t="n"/>
      <c r="K674" s="111" t="n"/>
      <c r="L674" s="112" t="n"/>
      <c r="M674" s="83" t="n"/>
      <c r="N674" s="84" t="n"/>
    </row>
    <row r="675" ht="15.75" customHeight="1">
      <c r="A675" s="76" t="n"/>
      <c r="B675" s="77" t="n"/>
      <c r="C675" s="78" t="n"/>
      <c r="E675" s="78" t="n"/>
      <c r="F675" s="78" t="n"/>
      <c r="G675" s="77" t="n"/>
      <c r="H675" s="77" t="n"/>
      <c r="I675" s="79" t="n"/>
      <c r="J675" s="110" t="n"/>
      <c r="K675" s="111" t="n"/>
      <c r="L675" s="112" t="n"/>
      <c r="M675" s="83" t="n"/>
      <c r="N675" s="84" t="n"/>
    </row>
    <row r="676" ht="15.75" customHeight="1">
      <c r="A676" s="76" t="n"/>
      <c r="B676" s="77" t="n"/>
      <c r="C676" s="78" t="n"/>
      <c r="E676" s="78" t="n"/>
      <c r="F676" s="78" t="n"/>
      <c r="G676" s="77" t="n"/>
      <c r="H676" s="77" t="n"/>
      <c r="I676" s="79" t="n"/>
      <c r="J676" s="110" t="n"/>
      <c r="K676" s="111" t="n"/>
      <c r="L676" s="112" t="n"/>
      <c r="M676" s="83" t="n"/>
      <c r="N676" s="84" t="n"/>
    </row>
    <row r="677" ht="15.75" customHeight="1">
      <c r="A677" s="76" t="n"/>
      <c r="B677" s="77" t="n"/>
      <c r="C677" s="78" t="n"/>
      <c r="E677" s="78" t="n"/>
      <c r="F677" s="78" t="n"/>
      <c r="G677" s="77" t="n"/>
      <c r="H677" s="77" t="n"/>
      <c r="I677" s="79" t="n"/>
      <c r="J677" s="110" t="n"/>
      <c r="K677" s="111" t="n"/>
      <c r="L677" s="112" t="n"/>
      <c r="M677" s="83" t="n"/>
      <c r="N677" s="84" t="n"/>
    </row>
    <row r="678" ht="15.75" customHeight="1">
      <c r="A678" s="76" t="n"/>
      <c r="B678" s="77" t="n"/>
      <c r="C678" s="78" t="n"/>
      <c r="E678" s="78" t="n"/>
      <c r="F678" s="78" t="n"/>
      <c r="G678" s="77" t="n"/>
      <c r="H678" s="77" t="n"/>
      <c r="I678" s="79" t="n"/>
      <c r="J678" s="110" t="n"/>
      <c r="K678" s="111" t="n"/>
      <c r="L678" s="112" t="n"/>
      <c r="M678" s="83" t="n"/>
      <c r="N678" s="84" t="n"/>
    </row>
    <row r="679" ht="15.75" customHeight="1">
      <c r="A679" s="76" t="n"/>
      <c r="B679" s="77" t="n"/>
      <c r="C679" s="78" t="n"/>
      <c r="E679" s="78" t="n"/>
      <c r="F679" s="78" t="n"/>
      <c r="G679" s="77" t="n"/>
      <c r="H679" s="77" t="n"/>
      <c r="I679" s="79" t="n"/>
      <c r="J679" s="110" t="n"/>
      <c r="K679" s="111" t="n"/>
      <c r="L679" s="112" t="n"/>
      <c r="M679" s="83" t="n"/>
      <c r="N679" s="84" t="n"/>
    </row>
    <row r="680" ht="15.75" customHeight="1">
      <c r="A680" s="76" t="n"/>
      <c r="B680" s="77" t="n"/>
      <c r="C680" s="78" t="n"/>
      <c r="E680" s="78" t="n"/>
      <c r="F680" s="78" t="n"/>
      <c r="G680" s="77" t="n"/>
      <c r="H680" s="77" t="n"/>
      <c r="I680" s="79" t="n"/>
      <c r="J680" s="110" t="n"/>
      <c r="K680" s="111" t="n"/>
      <c r="L680" s="112" t="n"/>
      <c r="M680" s="83" t="n"/>
      <c r="N680" s="84" t="n"/>
    </row>
    <row r="681" ht="15.75" customHeight="1">
      <c r="A681" s="76" t="n"/>
      <c r="B681" s="77" t="n"/>
      <c r="C681" s="78" t="n"/>
      <c r="E681" s="78" t="n"/>
      <c r="F681" s="78" t="n"/>
      <c r="G681" s="77" t="n"/>
      <c r="H681" s="77" t="n"/>
      <c r="I681" s="79" t="n"/>
      <c r="J681" s="110" t="n"/>
      <c r="K681" s="111" t="n"/>
      <c r="L681" s="112" t="n"/>
      <c r="M681" s="83" t="n"/>
      <c r="N681" s="84" t="n"/>
    </row>
    <row r="682" ht="15.75" customHeight="1">
      <c r="A682" s="76" t="n"/>
      <c r="B682" s="77" t="n"/>
      <c r="C682" s="78" t="n"/>
      <c r="E682" s="78" t="n"/>
      <c r="F682" s="78" t="n"/>
      <c r="G682" s="77" t="n"/>
      <c r="H682" s="77" t="n"/>
      <c r="I682" s="79" t="n"/>
      <c r="J682" s="110" t="n"/>
      <c r="K682" s="111" t="n"/>
      <c r="L682" s="112" t="n"/>
      <c r="M682" s="83" t="n"/>
      <c r="N682" s="84" t="n"/>
    </row>
    <row r="683" ht="15.75" customHeight="1">
      <c r="A683" s="76" t="n"/>
      <c r="B683" s="77" t="n"/>
      <c r="C683" s="78" t="n"/>
      <c r="E683" s="78" t="n"/>
      <c r="F683" s="78" t="n"/>
      <c r="G683" s="77" t="n"/>
      <c r="H683" s="77" t="n"/>
      <c r="I683" s="79" t="n"/>
      <c r="J683" s="110" t="n"/>
      <c r="K683" s="111" t="n"/>
      <c r="L683" s="112" t="n"/>
      <c r="M683" s="83" t="n"/>
      <c r="N683" s="84" t="n"/>
    </row>
    <row r="684" ht="15.75" customHeight="1">
      <c r="A684" s="76" t="n"/>
      <c r="B684" s="77" t="n"/>
      <c r="C684" s="78" t="n"/>
      <c r="E684" s="78" t="n"/>
      <c r="F684" s="78" t="n"/>
      <c r="G684" s="77" t="n"/>
      <c r="H684" s="77" t="n"/>
      <c r="I684" s="79" t="n"/>
      <c r="J684" s="110" t="n"/>
      <c r="K684" s="111" t="n"/>
      <c r="L684" s="112" t="n"/>
      <c r="M684" s="83" t="n"/>
      <c r="N684" s="84" t="n"/>
    </row>
    <row r="685" ht="15.75" customHeight="1">
      <c r="A685" s="76" t="n"/>
      <c r="B685" s="77" t="n"/>
      <c r="C685" s="78" t="n"/>
      <c r="E685" s="78" t="n"/>
      <c r="F685" s="78" t="n"/>
      <c r="G685" s="77" t="n"/>
      <c r="H685" s="77" t="n"/>
      <c r="I685" s="79" t="n"/>
      <c r="J685" s="110" t="n"/>
      <c r="K685" s="111" t="n"/>
      <c r="L685" s="112" t="n"/>
      <c r="M685" s="83" t="n"/>
      <c r="N685" s="84" t="n"/>
    </row>
    <row r="686" ht="15.75" customHeight="1">
      <c r="A686" s="76" t="n"/>
      <c r="B686" s="77" t="n"/>
      <c r="C686" s="78" t="n"/>
      <c r="E686" s="78" t="n"/>
      <c r="F686" s="78" t="n"/>
      <c r="G686" s="77" t="n"/>
      <c r="H686" s="77" t="n"/>
      <c r="I686" s="79" t="n"/>
      <c r="J686" s="110" t="n"/>
      <c r="K686" s="111" t="n"/>
      <c r="L686" s="112" t="n"/>
      <c r="M686" s="83" t="n"/>
      <c r="N686" s="84" t="n"/>
    </row>
    <row r="687" ht="15.75" customHeight="1">
      <c r="A687" s="76" t="n"/>
      <c r="B687" s="77" t="n"/>
      <c r="C687" s="78" t="n"/>
      <c r="E687" s="78" t="n"/>
      <c r="F687" s="78" t="n"/>
      <c r="G687" s="77" t="n"/>
      <c r="H687" s="77" t="n"/>
      <c r="I687" s="79" t="n"/>
      <c r="J687" s="110" t="n"/>
      <c r="K687" s="111" t="n"/>
      <c r="L687" s="112" t="n"/>
      <c r="M687" s="83" t="n"/>
      <c r="N687" s="84" t="n"/>
    </row>
    <row r="688" ht="15.75" customHeight="1">
      <c r="A688" s="76" t="n"/>
      <c r="B688" s="77" t="n"/>
      <c r="C688" s="78" t="n"/>
      <c r="E688" s="78" t="n"/>
      <c r="F688" s="78" t="n"/>
      <c r="G688" s="77" t="n"/>
      <c r="H688" s="77" t="n"/>
      <c r="I688" s="79" t="n"/>
      <c r="J688" s="110" t="n"/>
      <c r="K688" s="111" t="n"/>
      <c r="L688" s="112" t="n"/>
      <c r="M688" s="83" t="n"/>
      <c r="N688" s="84" t="n"/>
    </row>
    <row r="689" ht="15.75" customHeight="1">
      <c r="A689" s="76" t="n"/>
      <c r="B689" s="77" t="n"/>
      <c r="C689" s="78" t="n"/>
      <c r="E689" s="78" t="n"/>
      <c r="F689" s="78" t="n"/>
      <c r="G689" s="77" t="n"/>
      <c r="H689" s="77" t="n"/>
      <c r="I689" s="79" t="n"/>
      <c r="J689" s="110" t="n"/>
      <c r="K689" s="111" t="n"/>
      <c r="L689" s="112" t="n"/>
      <c r="M689" s="83" t="n"/>
      <c r="N689" s="84" t="n"/>
    </row>
    <row r="690" ht="15.75" customHeight="1">
      <c r="A690" s="76" t="n"/>
      <c r="B690" s="77" t="n"/>
      <c r="C690" s="78" t="n"/>
      <c r="E690" s="78" t="n"/>
      <c r="F690" s="78" t="n"/>
      <c r="G690" s="77" t="n"/>
      <c r="H690" s="77" t="n"/>
      <c r="I690" s="79" t="n"/>
      <c r="J690" s="110" t="n"/>
      <c r="K690" s="111" t="n"/>
      <c r="L690" s="112" t="n"/>
      <c r="M690" s="83" t="n"/>
      <c r="N690" s="84" t="n"/>
    </row>
    <row r="691" ht="15.75" customHeight="1">
      <c r="A691" s="76" t="n"/>
      <c r="B691" s="77" t="n"/>
      <c r="C691" s="78" t="n"/>
      <c r="E691" s="78" t="n"/>
      <c r="F691" s="78" t="n"/>
      <c r="G691" s="77" t="n"/>
      <c r="H691" s="77" t="n"/>
      <c r="I691" s="79" t="n"/>
      <c r="J691" s="110" t="n"/>
      <c r="K691" s="111" t="n"/>
      <c r="L691" s="112" t="n"/>
      <c r="M691" s="83" t="n"/>
      <c r="N691" s="84" t="n"/>
    </row>
    <row r="692" ht="15.75" customHeight="1">
      <c r="A692" s="76" t="n"/>
      <c r="B692" s="77" t="n"/>
      <c r="C692" s="78" t="n"/>
      <c r="E692" s="78" t="n"/>
      <c r="F692" s="78" t="n"/>
      <c r="G692" s="77" t="n"/>
      <c r="H692" s="77" t="n"/>
      <c r="I692" s="79" t="n"/>
      <c r="J692" s="110" t="n"/>
      <c r="K692" s="111" t="n"/>
      <c r="L692" s="112" t="n"/>
      <c r="M692" s="83" t="n"/>
      <c r="N692" s="84" t="n"/>
    </row>
    <row r="693" ht="15.75" customHeight="1">
      <c r="A693" s="76" t="n"/>
      <c r="B693" s="77" t="n"/>
      <c r="C693" s="78" t="n"/>
      <c r="E693" s="78" t="n"/>
      <c r="F693" s="78" t="n"/>
      <c r="G693" s="77" t="n"/>
      <c r="H693" s="77" t="n"/>
      <c r="I693" s="79" t="n"/>
      <c r="J693" s="110" t="n"/>
      <c r="K693" s="111" t="n"/>
      <c r="L693" s="112" t="n"/>
      <c r="M693" s="83" t="n"/>
      <c r="N693" s="84" t="n"/>
    </row>
    <row r="694" ht="15.75" customHeight="1">
      <c r="A694" s="76" t="n"/>
      <c r="B694" s="77" t="n"/>
      <c r="C694" s="78" t="n"/>
      <c r="E694" s="78" t="n"/>
      <c r="F694" s="78" t="n"/>
      <c r="G694" s="77" t="n"/>
      <c r="H694" s="77" t="n"/>
      <c r="I694" s="79" t="n"/>
      <c r="J694" s="110" t="n"/>
      <c r="K694" s="111" t="n"/>
      <c r="L694" s="112" t="n"/>
      <c r="M694" s="83" t="n"/>
      <c r="N694" s="84" t="n"/>
    </row>
    <row r="695" ht="15.75" customHeight="1">
      <c r="A695" s="76" t="n"/>
      <c r="B695" s="77" t="n"/>
      <c r="C695" s="78" t="n"/>
      <c r="E695" s="78" t="n"/>
      <c r="F695" s="78" t="n"/>
      <c r="G695" s="77" t="n"/>
      <c r="H695" s="77" t="n"/>
      <c r="I695" s="79" t="n"/>
      <c r="J695" s="110" t="n"/>
      <c r="K695" s="111" t="n"/>
      <c r="L695" s="112" t="n"/>
      <c r="M695" s="83" t="n"/>
      <c r="N695" s="84" t="n"/>
    </row>
    <row r="696" ht="15.75" customHeight="1">
      <c r="A696" s="76" t="n"/>
      <c r="B696" s="77" t="n"/>
      <c r="C696" s="78" t="n"/>
      <c r="E696" s="78" t="n"/>
      <c r="F696" s="78" t="n"/>
      <c r="G696" s="77" t="n"/>
      <c r="H696" s="77" t="n"/>
      <c r="I696" s="79" t="n"/>
      <c r="J696" s="110" t="n"/>
      <c r="K696" s="111" t="n"/>
      <c r="L696" s="112" t="n"/>
      <c r="M696" s="83" t="n"/>
      <c r="N696" s="84" t="n"/>
    </row>
    <row r="697" ht="15.75" customHeight="1">
      <c r="A697" s="76" t="n"/>
      <c r="B697" s="77" t="n"/>
      <c r="C697" s="78" t="n"/>
      <c r="E697" s="78" t="n"/>
      <c r="F697" s="78" t="n"/>
      <c r="G697" s="77" t="n"/>
      <c r="H697" s="77" t="n"/>
      <c r="I697" s="79" t="n"/>
      <c r="J697" s="110" t="n"/>
      <c r="K697" s="111" t="n"/>
      <c r="L697" s="112" t="n"/>
      <c r="M697" s="83" t="n"/>
      <c r="N697" s="84" t="n"/>
    </row>
    <row r="698" ht="15.75" customHeight="1">
      <c r="A698" s="76" t="n"/>
      <c r="B698" s="77" t="n"/>
      <c r="C698" s="78" t="n"/>
      <c r="E698" s="78" t="n"/>
      <c r="F698" s="78" t="n"/>
      <c r="G698" s="77" t="n"/>
      <c r="H698" s="77" t="n"/>
      <c r="I698" s="79" t="n"/>
      <c r="J698" s="110" t="n"/>
      <c r="K698" s="111" t="n"/>
      <c r="L698" s="112" t="n"/>
      <c r="M698" s="83" t="n"/>
      <c r="N698" s="84" t="n"/>
    </row>
    <row r="699" ht="15.75" customHeight="1">
      <c r="A699" s="76" t="n"/>
      <c r="B699" s="77" t="n"/>
      <c r="C699" s="78" t="n"/>
      <c r="E699" s="78" t="n"/>
      <c r="F699" s="78" t="n"/>
      <c r="G699" s="77" t="n"/>
      <c r="H699" s="77" t="n"/>
      <c r="I699" s="79" t="n"/>
      <c r="J699" s="110" t="n"/>
      <c r="K699" s="111" t="n"/>
      <c r="L699" s="112" t="n"/>
      <c r="M699" s="83" t="n"/>
      <c r="N699" s="84" t="n"/>
    </row>
    <row r="700" ht="15.75" customHeight="1">
      <c r="A700" s="76" t="n"/>
      <c r="B700" s="77" t="n"/>
      <c r="C700" s="78" t="n"/>
      <c r="E700" s="78" t="n"/>
      <c r="F700" s="78" t="n"/>
      <c r="G700" s="77" t="n"/>
      <c r="H700" s="77" t="n"/>
      <c r="I700" s="79" t="n"/>
      <c r="J700" s="110" t="n"/>
      <c r="K700" s="111" t="n"/>
      <c r="L700" s="112" t="n"/>
      <c r="M700" s="83" t="n"/>
      <c r="N700" s="84" t="n"/>
    </row>
    <row r="701" ht="15.75" customHeight="1">
      <c r="A701" s="76" t="n"/>
      <c r="B701" s="77" t="n"/>
      <c r="C701" s="78" t="n"/>
      <c r="E701" s="78" t="n"/>
      <c r="F701" s="78" t="n"/>
      <c r="G701" s="77" t="n"/>
      <c r="H701" s="77" t="n"/>
      <c r="I701" s="79" t="n"/>
      <c r="J701" s="110" t="n"/>
      <c r="K701" s="111" t="n"/>
      <c r="L701" s="112" t="n"/>
      <c r="M701" s="83" t="n"/>
      <c r="N701" s="84" t="n"/>
    </row>
    <row r="702" ht="15.75" customHeight="1">
      <c r="A702" s="76" t="n"/>
      <c r="B702" s="77" t="n"/>
      <c r="C702" s="78" t="n"/>
      <c r="E702" s="78" t="n"/>
      <c r="F702" s="78" t="n"/>
      <c r="G702" s="77" t="n"/>
      <c r="H702" s="77" t="n"/>
      <c r="I702" s="79" t="n"/>
      <c r="J702" s="110" t="n"/>
      <c r="K702" s="111" t="n"/>
      <c r="L702" s="112" t="n"/>
      <c r="M702" s="83" t="n"/>
      <c r="N702" s="84" t="n"/>
    </row>
    <row r="703" ht="15.75" customHeight="1">
      <c r="A703" s="76" t="n"/>
      <c r="B703" s="77" t="n"/>
      <c r="C703" s="78" t="n"/>
      <c r="E703" s="78" t="n"/>
      <c r="F703" s="78" t="n"/>
      <c r="G703" s="77" t="n"/>
      <c r="H703" s="77" t="n"/>
      <c r="I703" s="79" t="n"/>
      <c r="J703" s="110" t="n"/>
      <c r="K703" s="111" t="n"/>
      <c r="L703" s="112" t="n"/>
      <c r="M703" s="83" t="n"/>
      <c r="N703" s="84" t="n"/>
    </row>
    <row r="704" ht="15.75" customHeight="1">
      <c r="A704" s="76" t="n"/>
      <c r="B704" s="77" t="n"/>
      <c r="C704" s="78" t="n"/>
      <c r="E704" s="78" t="n"/>
      <c r="F704" s="78" t="n"/>
      <c r="G704" s="77" t="n"/>
      <c r="H704" s="77" t="n"/>
      <c r="I704" s="79" t="n"/>
      <c r="J704" s="110" t="n"/>
      <c r="K704" s="111" t="n"/>
      <c r="L704" s="112" t="n"/>
      <c r="M704" s="83" t="n"/>
      <c r="N704" s="84" t="n"/>
    </row>
    <row r="705" ht="15.75" customHeight="1">
      <c r="A705" s="76" t="n"/>
      <c r="B705" s="77" t="n"/>
      <c r="C705" s="78" t="n"/>
      <c r="E705" s="78" t="n"/>
      <c r="F705" s="78" t="n"/>
      <c r="G705" s="77" t="n"/>
      <c r="H705" s="77" t="n"/>
      <c r="I705" s="79" t="n"/>
      <c r="J705" s="110" t="n"/>
      <c r="K705" s="111" t="n"/>
      <c r="L705" s="112" t="n"/>
      <c r="M705" s="83" t="n"/>
      <c r="N705" s="84" t="n"/>
    </row>
    <row r="706" ht="15.75" customHeight="1">
      <c r="A706" s="76" t="n"/>
      <c r="B706" s="77" t="n"/>
      <c r="C706" s="78" t="n"/>
      <c r="E706" s="78" t="n"/>
      <c r="F706" s="78" t="n"/>
      <c r="G706" s="77" t="n"/>
      <c r="H706" s="77" t="n"/>
      <c r="I706" s="79" t="n"/>
      <c r="J706" s="110" t="n"/>
      <c r="K706" s="111" t="n"/>
      <c r="L706" s="112" t="n"/>
      <c r="M706" s="83" t="n"/>
      <c r="N706" s="84" t="n"/>
    </row>
    <row r="707" ht="15.75" customHeight="1">
      <c r="A707" s="76" t="n"/>
      <c r="B707" s="77" t="n"/>
      <c r="C707" s="78" t="n"/>
      <c r="E707" s="78" t="n"/>
      <c r="F707" s="78" t="n"/>
      <c r="G707" s="77" t="n"/>
      <c r="H707" s="77" t="n"/>
      <c r="I707" s="79" t="n"/>
      <c r="J707" s="110" t="n"/>
      <c r="K707" s="111" t="n"/>
      <c r="L707" s="112" t="n"/>
      <c r="M707" s="83" t="n"/>
      <c r="N707" s="84" t="n"/>
    </row>
    <row r="708" ht="15.75" customHeight="1">
      <c r="A708" s="76" t="n"/>
      <c r="B708" s="77" t="n"/>
      <c r="C708" s="78" t="n"/>
      <c r="E708" s="78" t="n"/>
      <c r="F708" s="78" t="n"/>
      <c r="G708" s="77" t="n"/>
      <c r="H708" s="77" t="n"/>
      <c r="I708" s="79" t="n"/>
      <c r="J708" s="110" t="n"/>
      <c r="K708" s="111" t="n"/>
      <c r="L708" s="112" t="n"/>
      <c r="M708" s="83" t="n"/>
      <c r="N708" s="84" t="n"/>
    </row>
    <row r="709" ht="15.75" customHeight="1">
      <c r="A709" s="76" t="n"/>
      <c r="B709" s="77" t="n"/>
      <c r="C709" s="78" t="n"/>
      <c r="E709" s="78" t="n"/>
      <c r="F709" s="78" t="n"/>
      <c r="G709" s="77" t="n"/>
      <c r="H709" s="77" t="n"/>
      <c r="I709" s="79" t="n"/>
      <c r="J709" s="110" t="n"/>
      <c r="K709" s="111" t="n"/>
      <c r="L709" s="112" t="n"/>
      <c r="M709" s="83" t="n"/>
      <c r="N709" s="84" t="n"/>
    </row>
    <row r="710" ht="15.75" customHeight="1">
      <c r="A710" s="76" t="n"/>
      <c r="B710" s="77" t="n"/>
      <c r="C710" s="78" t="n"/>
      <c r="E710" s="78" t="n"/>
      <c r="F710" s="78" t="n"/>
      <c r="G710" s="77" t="n"/>
      <c r="H710" s="77" t="n"/>
      <c r="I710" s="79" t="n"/>
      <c r="J710" s="110" t="n"/>
      <c r="K710" s="111" t="n"/>
      <c r="L710" s="112" t="n"/>
      <c r="M710" s="83" t="n"/>
      <c r="N710" s="84" t="n"/>
    </row>
    <row r="711" ht="15.75" customHeight="1">
      <c r="A711" s="76" t="n"/>
      <c r="B711" s="77" t="n"/>
      <c r="C711" s="78" t="n"/>
      <c r="E711" s="78" t="n"/>
      <c r="F711" s="78" t="n"/>
      <c r="G711" s="77" t="n"/>
      <c r="H711" s="77" t="n"/>
      <c r="I711" s="79" t="n"/>
      <c r="J711" s="110" t="n"/>
      <c r="K711" s="111" t="n"/>
      <c r="L711" s="112" t="n"/>
      <c r="M711" s="83" t="n"/>
      <c r="N711" s="84" t="n"/>
    </row>
    <row r="712" ht="15.75" customHeight="1">
      <c r="A712" s="76" t="n"/>
      <c r="B712" s="77" t="n"/>
      <c r="C712" s="78" t="n"/>
      <c r="E712" s="78" t="n"/>
      <c r="F712" s="78" t="n"/>
      <c r="G712" s="77" t="n"/>
      <c r="H712" s="77" t="n"/>
      <c r="I712" s="79" t="n"/>
      <c r="J712" s="110" t="n"/>
      <c r="K712" s="111" t="n"/>
      <c r="L712" s="112" t="n"/>
      <c r="M712" s="83" t="n"/>
      <c r="N712" s="84" t="n"/>
    </row>
    <row r="713" ht="15.75" customHeight="1">
      <c r="A713" s="76" t="n"/>
      <c r="B713" s="77" t="n"/>
      <c r="C713" s="78" t="n"/>
      <c r="E713" s="78" t="n"/>
      <c r="F713" s="78" t="n"/>
      <c r="G713" s="77" t="n"/>
      <c r="H713" s="77" t="n"/>
      <c r="I713" s="79" t="n"/>
      <c r="J713" s="110" t="n"/>
      <c r="K713" s="111" t="n"/>
      <c r="L713" s="112" t="n"/>
      <c r="M713" s="83" t="n"/>
      <c r="N713" s="84" t="n"/>
    </row>
    <row r="714" ht="15.75" customHeight="1">
      <c r="A714" s="76" t="n"/>
      <c r="B714" s="77" t="n"/>
      <c r="C714" s="78" t="n"/>
      <c r="E714" s="78" t="n"/>
      <c r="F714" s="78" t="n"/>
      <c r="G714" s="77" t="n"/>
      <c r="H714" s="77" t="n"/>
      <c r="I714" s="79" t="n"/>
      <c r="J714" s="110" t="n"/>
      <c r="K714" s="111" t="n"/>
      <c r="L714" s="112" t="n"/>
      <c r="M714" s="83" t="n"/>
      <c r="N714" s="84" t="n"/>
    </row>
    <row r="715" ht="15.75" customHeight="1">
      <c r="A715" s="76" t="n"/>
      <c r="B715" s="77" t="n"/>
      <c r="C715" s="78" t="n"/>
      <c r="E715" s="78" t="n"/>
      <c r="F715" s="78" t="n"/>
      <c r="G715" s="77" t="n"/>
      <c r="H715" s="77" t="n"/>
      <c r="I715" s="79" t="n"/>
      <c r="J715" s="110" t="n"/>
      <c r="K715" s="111" t="n"/>
      <c r="L715" s="112" t="n"/>
      <c r="M715" s="83" t="n"/>
      <c r="N715" s="84" t="n"/>
    </row>
    <row r="716" ht="15.75" customHeight="1">
      <c r="A716" s="76" t="n"/>
      <c r="B716" s="77" t="n"/>
      <c r="C716" s="78" t="n"/>
      <c r="E716" s="78" t="n"/>
      <c r="F716" s="78" t="n"/>
      <c r="G716" s="77" t="n"/>
      <c r="H716" s="77" t="n"/>
      <c r="I716" s="79" t="n"/>
      <c r="J716" s="110" t="n"/>
      <c r="K716" s="111" t="n"/>
      <c r="L716" s="112" t="n"/>
      <c r="M716" s="83" t="n"/>
      <c r="N716" s="84" t="n"/>
    </row>
    <row r="717" ht="15.75" customHeight="1">
      <c r="A717" s="76" t="n"/>
      <c r="B717" s="77" t="n"/>
      <c r="C717" s="78" t="n"/>
      <c r="E717" s="78" t="n"/>
      <c r="F717" s="78" t="n"/>
      <c r="G717" s="77" t="n"/>
      <c r="H717" s="77" t="n"/>
      <c r="I717" s="79" t="n"/>
      <c r="J717" s="110" t="n"/>
      <c r="K717" s="111" t="n"/>
      <c r="L717" s="112" t="n"/>
      <c r="M717" s="83" t="n"/>
      <c r="N717" s="84" t="n"/>
    </row>
    <row r="718" ht="15.75" customHeight="1">
      <c r="A718" s="76" t="n"/>
      <c r="B718" s="77" t="n"/>
      <c r="C718" s="78" t="n"/>
      <c r="E718" s="78" t="n"/>
      <c r="F718" s="78" t="n"/>
      <c r="G718" s="77" t="n"/>
      <c r="H718" s="77" t="n"/>
      <c r="I718" s="79" t="n"/>
      <c r="J718" s="110" t="n"/>
      <c r="K718" s="111" t="n"/>
      <c r="L718" s="112" t="n"/>
      <c r="M718" s="83" t="n"/>
      <c r="N718" s="84" t="n"/>
    </row>
    <row r="719" ht="15.75" customHeight="1">
      <c r="A719" s="76" t="n"/>
      <c r="B719" s="77" t="n"/>
      <c r="C719" s="78" t="n"/>
      <c r="E719" s="78" t="n"/>
      <c r="F719" s="78" t="n"/>
      <c r="G719" s="77" t="n"/>
      <c r="H719" s="77" t="n"/>
      <c r="I719" s="79" t="n"/>
      <c r="J719" s="110" t="n"/>
      <c r="K719" s="111" t="n"/>
      <c r="L719" s="112" t="n"/>
      <c r="M719" s="83" t="n"/>
      <c r="N719" s="84" t="n"/>
    </row>
    <row r="720" ht="15.75" customHeight="1">
      <c r="A720" s="76" t="n"/>
      <c r="B720" s="77" t="n"/>
      <c r="C720" s="78" t="n"/>
      <c r="E720" s="78" t="n"/>
      <c r="F720" s="78" t="n"/>
      <c r="G720" s="77" t="n"/>
      <c r="H720" s="77" t="n"/>
      <c r="I720" s="79" t="n"/>
      <c r="J720" s="110" t="n"/>
      <c r="K720" s="111" t="n"/>
      <c r="L720" s="112" t="n"/>
      <c r="M720" s="83" t="n"/>
      <c r="N720" s="84" t="n"/>
    </row>
    <row r="721" ht="15.75" customHeight="1">
      <c r="A721" s="76" t="n"/>
      <c r="B721" s="77" t="n"/>
      <c r="C721" s="78" t="n"/>
      <c r="E721" s="78" t="n"/>
      <c r="F721" s="78" t="n"/>
      <c r="G721" s="77" t="n"/>
      <c r="H721" s="77" t="n"/>
      <c r="I721" s="79" t="n"/>
      <c r="J721" s="110" t="n"/>
      <c r="K721" s="111" t="n"/>
      <c r="L721" s="112" t="n"/>
      <c r="M721" s="83" t="n"/>
      <c r="N721" s="84" t="n"/>
    </row>
    <row r="722" ht="15.75" customHeight="1">
      <c r="A722" s="76" t="n"/>
      <c r="B722" s="77" t="n"/>
      <c r="C722" s="78" t="n"/>
      <c r="E722" s="78" t="n"/>
      <c r="F722" s="78" t="n"/>
      <c r="G722" s="77" t="n"/>
      <c r="H722" s="77" t="n"/>
      <c r="I722" s="79" t="n"/>
      <c r="J722" s="110" t="n"/>
      <c r="K722" s="111" t="n"/>
      <c r="L722" s="112" t="n"/>
      <c r="M722" s="83" t="n"/>
      <c r="N722" s="84" t="n"/>
    </row>
    <row r="723" ht="15.75" customHeight="1">
      <c r="A723" s="76" t="n"/>
      <c r="B723" s="77" t="n"/>
      <c r="C723" s="78" t="n"/>
      <c r="E723" s="78" t="n"/>
      <c r="F723" s="78" t="n"/>
      <c r="G723" s="77" t="n"/>
      <c r="H723" s="77" t="n"/>
      <c r="I723" s="79" t="n"/>
      <c r="J723" s="110" t="n"/>
      <c r="K723" s="111" t="n"/>
      <c r="L723" s="112" t="n"/>
      <c r="M723" s="83" t="n"/>
      <c r="N723" s="84" t="n"/>
    </row>
    <row r="724" ht="15.75" customHeight="1">
      <c r="A724" s="76" t="n"/>
      <c r="B724" s="77" t="n"/>
      <c r="C724" s="78" t="n"/>
      <c r="E724" s="78" t="n"/>
      <c r="F724" s="78" t="n"/>
      <c r="G724" s="77" t="n"/>
      <c r="H724" s="77" t="n"/>
      <c r="I724" s="79" t="n"/>
      <c r="J724" s="110" t="n"/>
      <c r="K724" s="111" t="n"/>
      <c r="L724" s="112" t="n"/>
      <c r="M724" s="83" t="n"/>
      <c r="N724" s="84" t="n"/>
    </row>
    <row r="725" ht="15.75" customHeight="1">
      <c r="A725" s="76" t="n"/>
      <c r="B725" s="77" t="n"/>
      <c r="C725" s="78" t="n"/>
      <c r="E725" s="78" t="n"/>
      <c r="F725" s="78" t="n"/>
      <c r="G725" s="77" t="n"/>
      <c r="H725" s="77" t="n"/>
      <c r="I725" s="79" t="n"/>
      <c r="J725" s="110" t="n"/>
      <c r="K725" s="111" t="n"/>
      <c r="L725" s="112" t="n"/>
      <c r="M725" s="83" t="n"/>
      <c r="N725" s="84" t="n"/>
    </row>
    <row r="726" ht="15.75" customHeight="1">
      <c r="A726" s="76" t="n"/>
      <c r="B726" s="77" t="n"/>
      <c r="C726" s="78" t="n"/>
      <c r="E726" s="78" t="n"/>
      <c r="F726" s="78" t="n"/>
      <c r="G726" s="77" t="n"/>
      <c r="H726" s="77" t="n"/>
      <c r="I726" s="79" t="n"/>
      <c r="J726" s="110" t="n"/>
      <c r="K726" s="111" t="n"/>
      <c r="L726" s="112" t="n"/>
      <c r="M726" s="83" t="n"/>
      <c r="N726" s="84" t="n"/>
    </row>
    <row r="727" ht="15.75" customHeight="1">
      <c r="A727" s="76" t="n"/>
      <c r="B727" s="77" t="n"/>
      <c r="C727" s="78" t="n"/>
      <c r="E727" s="78" t="n"/>
      <c r="F727" s="78" t="n"/>
      <c r="G727" s="77" t="n"/>
      <c r="H727" s="77" t="n"/>
      <c r="I727" s="79" t="n"/>
      <c r="J727" s="110" t="n"/>
      <c r="K727" s="111" t="n"/>
      <c r="L727" s="112" t="n"/>
      <c r="M727" s="83" t="n"/>
      <c r="N727" s="84" t="n"/>
    </row>
    <row r="728" ht="15.75" customHeight="1">
      <c r="A728" s="76" t="n"/>
      <c r="B728" s="77" t="n"/>
      <c r="C728" s="78" t="n"/>
      <c r="E728" s="78" t="n"/>
      <c r="F728" s="78" t="n"/>
      <c r="G728" s="77" t="n"/>
      <c r="H728" s="77" t="n"/>
      <c r="I728" s="79" t="n"/>
      <c r="J728" s="110" t="n"/>
      <c r="K728" s="111" t="n"/>
      <c r="L728" s="112" t="n"/>
      <c r="M728" s="83" t="n"/>
      <c r="N728" s="84" t="n"/>
    </row>
    <row r="729" ht="15.75" customHeight="1">
      <c r="A729" s="76" t="n"/>
      <c r="B729" s="77" t="n"/>
      <c r="C729" s="78" t="n"/>
      <c r="E729" s="78" t="n"/>
      <c r="F729" s="78" t="n"/>
      <c r="G729" s="77" t="n"/>
      <c r="H729" s="77" t="n"/>
      <c r="I729" s="79" t="n"/>
      <c r="J729" s="110" t="n"/>
      <c r="K729" s="111" t="n"/>
      <c r="L729" s="112" t="n"/>
      <c r="M729" s="83" t="n"/>
      <c r="N729" s="84" t="n"/>
    </row>
    <row r="730" ht="15.75" customHeight="1">
      <c r="A730" s="76" t="n"/>
      <c r="B730" s="77" t="n"/>
      <c r="C730" s="78" t="n"/>
      <c r="E730" s="78" t="n"/>
      <c r="F730" s="78" t="n"/>
      <c r="G730" s="77" t="n"/>
      <c r="H730" s="77" t="n"/>
      <c r="I730" s="79" t="n"/>
      <c r="J730" s="110" t="n"/>
      <c r="K730" s="111" t="n"/>
      <c r="L730" s="112" t="n"/>
      <c r="M730" s="83" t="n"/>
      <c r="N730" s="84" t="n"/>
    </row>
    <row r="731" ht="15.75" customHeight="1">
      <c r="A731" s="76" t="n"/>
      <c r="B731" s="77" t="n"/>
      <c r="C731" s="78" t="n"/>
      <c r="E731" s="78" t="n"/>
      <c r="F731" s="78" t="n"/>
      <c r="G731" s="77" t="n"/>
      <c r="H731" s="77" t="n"/>
      <c r="I731" s="79" t="n"/>
      <c r="J731" s="110" t="n"/>
      <c r="K731" s="111" t="n"/>
      <c r="L731" s="112" t="n"/>
      <c r="M731" s="83" t="n"/>
      <c r="N731" s="84" t="n"/>
    </row>
    <row r="732" ht="15.75" customHeight="1">
      <c r="A732" s="76" t="n"/>
      <c r="B732" s="77" t="n"/>
      <c r="C732" s="78" t="n"/>
      <c r="E732" s="78" t="n"/>
      <c r="F732" s="78" t="n"/>
      <c r="G732" s="77" t="n"/>
      <c r="H732" s="77" t="n"/>
      <c r="I732" s="79" t="n"/>
      <c r="J732" s="110" t="n"/>
      <c r="K732" s="111" t="n"/>
      <c r="L732" s="112" t="n"/>
      <c r="M732" s="83" t="n"/>
      <c r="N732" s="84" t="n"/>
    </row>
    <row r="733" ht="15.75" customHeight="1">
      <c r="A733" s="76" t="n"/>
      <c r="B733" s="77" t="n"/>
      <c r="C733" s="78" t="n"/>
      <c r="E733" s="78" t="n"/>
      <c r="F733" s="78" t="n"/>
      <c r="G733" s="77" t="n"/>
      <c r="H733" s="77" t="n"/>
      <c r="I733" s="79" t="n"/>
      <c r="J733" s="110" t="n"/>
      <c r="K733" s="111" t="n"/>
      <c r="L733" s="112" t="n"/>
      <c r="M733" s="83" t="n"/>
      <c r="N733" s="84" t="n"/>
    </row>
    <row r="734" ht="15.75" customHeight="1">
      <c r="A734" s="76" t="n"/>
      <c r="B734" s="77" t="n"/>
      <c r="C734" s="78" t="n"/>
      <c r="E734" s="78" t="n"/>
      <c r="F734" s="78" t="n"/>
      <c r="G734" s="77" t="n"/>
      <c r="H734" s="77" t="n"/>
      <c r="I734" s="79" t="n"/>
      <c r="J734" s="110" t="n"/>
      <c r="K734" s="111" t="n"/>
      <c r="L734" s="112" t="n"/>
      <c r="M734" s="83" t="n"/>
      <c r="N734" s="84" t="n"/>
    </row>
    <row r="735" ht="15.75" customHeight="1">
      <c r="A735" s="76" t="n"/>
      <c r="B735" s="77" t="n"/>
      <c r="C735" s="78" t="n"/>
      <c r="E735" s="78" t="n"/>
      <c r="F735" s="78" t="n"/>
      <c r="G735" s="77" t="n"/>
      <c r="H735" s="77" t="n"/>
      <c r="I735" s="79" t="n"/>
      <c r="J735" s="110" t="n"/>
      <c r="K735" s="111" t="n"/>
      <c r="L735" s="112" t="n"/>
      <c r="M735" s="83" t="n"/>
      <c r="N735" s="84" t="n"/>
    </row>
    <row r="736" ht="15.75" customHeight="1">
      <c r="A736" s="76" t="n"/>
      <c r="B736" s="77" t="n"/>
      <c r="C736" s="78" t="n"/>
      <c r="E736" s="78" t="n"/>
      <c r="F736" s="78" t="n"/>
      <c r="G736" s="77" t="n"/>
      <c r="H736" s="77" t="n"/>
      <c r="I736" s="79" t="n"/>
      <c r="J736" s="110" t="n"/>
      <c r="K736" s="111" t="n"/>
      <c r="L736" s="112" t="n"/>
      <c r="M736" s="83" t="n"/>
      <c r="N736" s="84" t="n"/>
    </row>
    <row r="737" ht="15.75" customHeight="1">
      <c r="A737" s="76" t="n"/>
      <c r="B737" s="77" t="n"/>
      <c r="C737" s="78" t="n"/>
      <c r="E737" s="78" t="n"/>
      <c r="F737" s="78" t="n"/>
      <c r="G737" s="77" t="n"/>
      <c r="H737" s="77" t="n"/>
      <c r="I737" s="79" t="n"/>
      <c r="J737" s="110" t="n"/>
      <c r="K737" s="111" t="n"/>
      <c r="L737" s="112" t="n"/>
      <c r="M737" s="83" t="n"/>
      <c r="N737" s="84" t="n"/>
    </row>
    <row r="738" ht="15.75" customHeight="1">
      <c r="A738" s="76" t="n"/>
      <c r="B738" s="77" t="n"/>
      <c r="C738" s="78" t="n"/>
      <c r="E738" s="78" t="n"/>
      <c r="F738" s="78" t="n"/>
      <c r="G738" s="77" t="n"/>
      <c r="H738" s="77" t="n"/>
      <c r="I738" s="79" t="n"/>
      <c r="J738" s="110" t="n"/>
      <c r="K738" s="111" t="n"/>
      <c r="L738" s="112" t="n"/>
      <c r="M738" s="83" t="n"/>
      <c r="N738" s="84" t="n"/>
    </row>
    <row r="739" ht="15.75" customHeight="1">
      <c r="A739" s="76" t="n"/>
      <c r="B739" s="77" t="n"/>
      <c r="C739" s="78" t="n"/>
      <c r="E739" s="78" t="n"/>
      <c r="F739" s="78" t="n"/>
      <c r="G739" s="77" t="n"/>
      <c r="H739" s="77" t="n"/>
      <c r="I739" s="79" t="n"/>
      <c r="J739" s="110" t="n"/>
      <c r="K739" s="111" t="n"/>
      <c r="L739" s="112" t="n"/>
      <c r="M739" s="83" t="n"/>
      <c r="N739" s="84" t="n"/>
    </row>
    <row r="740" ht="15.75" customHeight="1">
      <c r="A740" s="76" t="n"/>
      <c r="B740" s="77" t="n"/>
      <c r="C740" s="78" t="n"/>
      <c r="E740" s="78" t="n"/>
      <c r="F740" s="78" t="n"/>
      <c r="G740" s="77" t="n"/>
      <c r="H740" s="77" t="n"/>
      <c r="I740" s="79" t="n"/>
      <c r="J740" s="110" t="n"/>
      <c r="K740" s="111" t="n"/>
      <c r="L740" s="112" t="n"/>
      <c r="M740" s="83" t="n"/>
      <c r="N740" s="84" t="n"/>
    </row>
    <row r="741" ht="15.75" customHeight="1">
      <c r="A741" s="76" t="n"/>
      <c r="B741" s="77" t="n"/>
      <c r="C741" s="78" t="n"/>
      <c r="E741" s="78" t="n"/>
      <c r="F741" s="78" t="n"/>
      <c r="G741" s="77" t="n"/>
      <c r="H741" s="77" t="n"/>
      <c r="I741" s="79" t="n"/>
      <c r="J741" s="110" t="n"/>
      <c r="K741" s="111" t="n"/>
      <c r="L741" s="112" t="n"/>
      <c r="M741" s="83" t="n"/>
      <c r="N741" s="84" t="n"/>
    </row>
    <row r="742" ht="15.75" customHeight="1">
      <c r="A742" s="76" t="n"/>
      <c r="B742" s="77" t="n"/>
      <c r="C742" s="78" t="n"/>
      <c r="E742" s="78" t="n"/>
      <c r="F742" s="78" t="n"/>
      <c r="G742" s="77" t="n"/>
      <c r="H742" s="77" t="n"/>
      <c r="I742" s="79" t="n"/>
      <c r="J742" s="110" t="n"/>
      <c r="K742" s="111" t="n"/>
      <c r="L742" s="112" t="n"/>
      <c r="M742" s="83" t="n"/>
      <c r="N742" s="84" t="n"/>
    </row>
    <row r="743" ht="15.75" customHeight="1">
      <c r="A743" s="76" t="n"/>
      <c r="B743" s="77" t="n"/>
      <c r="C743" s="78" t="n"/>
      <c r="E743" s="78" t="n"/>
      <c r="F743" s="78" t="n"/>
      <c r="G743" s="77" t="n"/>
      <c r="H743" s="77" t="n"/>
      <c r="I743" s="79" t="n"/>
      <c r="J743" s="110" t="n"/>
      <c r="K743" s="111" t="n"/>
      <c r="L743" s="112" t="n"/>
      <c r="M743" s="83" t="n"/>
      <c r="N743" s="84" t="n"/>
    </row>
    <row r="744" ht="15.75" customHeight="1">
      <c r="A744" s="76" t="n"/>
      <c r="B744" s="77" t="n"/>
      <c r="C744" s="78" t="n"/>
      <c r="E744" s="78" t="n"/>
      <c r="F744" s="78" t="n"/>
      <c r="G744" s="77" t="n"/>
      <c r="H744" s="77" t="n"/>
      <c r="I744" s="79" t="n"/>
      <c r="J744" s="110" t="n"/>
      <c r="K744" s="111" t="n"/>
      <c r="L744" s="112" t="n"/>
      <c r="M744" s="83" t="n"/>
      <c r="N744" s="84" t="n"/>
    </row>
    <row r="745" ht="15.75" customHeight="1">
      <c r="A745" s="76" t="n"/>
      <c r="B745" s="77" t="n"/>
      <c r="C745" s="78" t="n"/>
      <c r="E745" s="78" t="n"/>
      <c r="F745" s="78" t="n"/>
      <c r="G745" s="77" t="n"/>
      <c r="H745" s="77" t="n"/>
      <c r="I745" s="79" t="n"/>
      <c r="J745" s="110" t="n"/>
      <c r="K745" s="111" t="n"/>
      <c r="L745" s="112" t="n"/>
      <c r="M745" s="83" t="n"/>
      <c r="N745" s="84" t="n"/>
    </row>
    <row r="746" ht="15.75" customHeight="1">
      <c r="A746" s="76" t="n"/>
      <c r="B746" s="77" t="n"/>
      <c r="C746" s="78" t="n"/>
      <c r="E746" s="78" t="n"/>
      <c r="F746" s="78" t="n"/>
      <c r="G746" s="77" t="n"/>
      <c r="H746" s="77" t="n"/>
      <c r="I746" s="79" t="n"/>
      <c r="J746" s="110" t="n"/>
      <c r="K746" s="111" t="n"/>
      <c r="L746" s="112" t="n"/>
      <c r="M746" s="83" t="n"/>
      <c r="N746" s="84" t="n"/>
    </row>
    <row r="747" ht="15.75" customHeight="1">
      <c r="A747" s="76" t="n"/>
      <c r="B747" s="77" t="n"/>
      <c r="C747" s="78" t="n"/>
      <c r="E747" s="78" t="n"/>
      <c r="F747" s="78" t="n"/>
      <c r="G747" s="77" t="n"/>
      <c r="H747" s="77" t="n"/>
      <c r="I747" s="79" t="n"/>
      <c r="J747" s="110" t="n"/>
      <c r="K747" s="111" t="n"/>
      <c r="L747" s="112" t="n"/>
      <c r="M747" s="83" t="n"/>
      <c r="N747" s="84" t="n"/>
    </row>
    <row r="748" ht="15.75" customHeight="1">
      <c r="A748" s="76" t="n"/>
      <c r="B748" s="77" t="n"/>
      <c r="C748" s="78" t="n"/>
      <c r="E748" s="78" t="n"/>
      <c r="F748" s="78" t="n"/>
      <c r="G748" s="77" t="n"/>
      <c r="H748" s="77" t="n"/>
      <c r="I748" s="79" t="n"/>
      <c r="J748" s="110" t="n"/>
      <c r="K748" s="111" t="n"/>
      <c r="L748" s="112" t="n"/>
      <c r="M748" s="83" t="n"/>
      <c r="N748" s="84" t="n"/>
    </row>
    <row r="749" ht="15.75" customHeight="1">
      <c r="A749" s="76" t="n"/>
      <c r="B749" s="77" t="n"/>
      <c r="C749" s="78" t="n"/>
      <c r="E749" s="78" t="n"/>
      <c r="F749" s="78" t="n"/>
      <c r="G749" s="77" t="n"/>
      <c r="H749" s="77" t="n"/>
      <c r="I749" s="79" t="n"/>
      <c r="J749" s="110" t="n"/>
      <c r="K749" s="111" t="n"/>
      <c r="L749" s="112" t="n"/>
      <c r="M749" s="83" t="n"/>
      <c r="N749" s="84" t="n"/>
    </row>
    <row r="750" ht="15.75" customHeight="1">
      <c r="A750" s="76" t="n"/>
      <c r="B750" s="77" t="n"/>
      <c r="C750" s="78" t="n"/>
      <c r="E750" s="78" t="n"/>
      <c r="F750" s="78" t="n"/>
      <c r="G750" s="77" t="n"/>
      <c r="H750" s="77" t="n"/>
      <c r="I750" s="79" t="n"/>
      <c r="J750" s="110" t="n"/>
      <c r="K750" s="111" t="n"/>
      <c r="L750" s="112" t="n"/>
      <c r="M750" s="83" t="n"/>
      <c r="N750" s="84" t="n"/>
    </row>
    <row r="751" ht="15.75" customHeight="1">
      <c r="A751" s="76" t="n"/>
      <c r="B751" s="77" t="n"/>
      <c r="C751" s="78" t="n"/>
      <c r="E751" s="78" t="n"/>
      <c r="F751" s="78" t="n"/>
      <c r="G751" s="77" t="n"/>
      <c r="H751" s="77" t="n"/>
      <c r="I751" s="79" t="n"/>
      <c r="J751" s="110" t="n"/>
      <c r="K751" s="111" t="n"/>
      <c r="L751" s="112" t="n"/>
      <c r="M751" s="83" t="n"/>
      <c r="N751" s="84" t="n"/>
    </row>
    <row r="752" ht="15.75" customHeight="1">
      <c r="A752" s="76" t="n"/>
      <c r="B752" s="77" t="n"/>
      <c r="C752" s="78" t="n"/>
      <c r="E752" s="78" t="n"/>
      <c r="F752" s="78" t="n"/>
      <c r="G752" s="77" t="n"/>
      <c r="H752" s="77" t="n"/>
      <c r="I752" s="79" t="n"/>
      <c r="J752" s="110" t="n"/>
      <c r="K752" s="111" t="n"/>
      <c r="L752" s="112" t="n"/>
      <c r="M752" s="83" t="n"/>
      <c r="N752" s="84" t="n"/>
    </row>
    <row r="753" ht="15.75" customHeight="1">
      <c r="A753" s="76" t="n"/>
      <c r="B753" s="77" t="n"/>
      <c r="C753" s="78" t="n"/>
      <c r="E753" s="78" t="n"/>
      <c r="F753" s="78" t="n"/>
      <c r="G753" s="77" t="n"/>
      <c r="H753" s="77" t="n"/>
      <c r="I753" s="79" t="n"/>
      <c r="J753" s="110" t="n"/>
      <c r="K753" s="111" t="n"/>
      <c r="L753" s="112" t="n"/>
      <c r="M753" s="83" t="n"/>
      <c r="N753" s="84" t="n"/>
    </row>
    <row r="754" ht="15.75" customHeight="1">
      <c r="A754" s="76" t="n"/>
      <c r="B754" s="77" t="n"/>
      <c r="C754" s="78" t="n"/>
      <c r="E754" s="78" t="n"/>
      <c r="F754" s="78" t="n"/>
      <c r="G754" s="77" t="n"/>
      <c r="H754" s="77" t="n"/>
      <c r="I754" s="79" t="n"/>
      <c r="J754" s="110" t="n"/>
      <c r="K754" s="111" t="n"/>
      <c r="L754" s="112" t="n"/>
      <c r="M754" s="83" t="n"/>
      <c r="N754" s="84" t="n"/>
    </row>
    <row r="755" ht="15.75" customHeight="1">
      <c r="A755" s="76" t="n"/>
      <c r="B755" s="77" t="n"/>
      <c r="C755" s="78" t="n"/>
      <c r="E755" s="78" t="n"/>
      <c r="F755" s="78" t="n"/>
      <c r="G755" s="77" t="n"/>
      <c r="H755" s="77" t="n"/>
      <c r="I755" s="79" t="n"/>
      <c r="J755" s="110" t="n"/>
      <c r="K755" s="111" t="n"/>
      <c r="L755" s="112" t="n"/>
      <c r="M755" s="83" t="n"/>
      <c r="N755" s="84" t="n"/>
    </row>
    <row r="756" ht="15.75" customHeight="1">
      <c r="A756" s="76" t="n"/>
      <c r="B756" s="77" t="n"/>
      <c r="C756" s="78" t="n"/>
      <c r="E756" s="78" t="n"/>
      <c r="F756" s="78" t="n"/>
      <c r="G756" s="77" t="n"/>
      <c r="H756" s="77" t="n"/>
      <c r="I756" s="79" t="n"/>
      <c r="J756" s="110" t="n"/>
      <c r="K756" s="111" t="n"/>
      <c r="L756" s="112" t="n"/>
      <c r="M756" s="83" t="n"/>
      <c r="N756" s="84" t="n"/>
    </row>
    <row r="757" ht="15.75" customHeight="1">
      <c r="A757" s="76" t="n"/>
      <c r="B757" s="77" t="n"/>
      <c r="C757" s="78" t="n"/>
      <c r="E757" s="78" t="n"/>
      <c r="F757" s="78" t="n"/>
      <c r="G757" s="77" t="n"/>
      <c r="H757" s="77" t="n"/>
      <c r="I757" s="79" t="n"/>
      <c r="J757" s="110" t="n"/>
      <c r="K757" s="111" t="n"/>
      <c r="L757" s="112" t="n"/>
      <c r="M757" s="83" t="n"/>
      <c r="N757" s="84" t="n"/>
    </row>
    <row r="758" ht="15.75" customHeight="1">
      <c r="A758" s="76" t="n"/>
      <c r="B758" s="77" t="n"/>
      <c r="C758" s="78" t="n"/>
      <c r="E758" s="78" t="n"/>
      <c r="F758" s="78" t="n"/>
      <c r="G758" s="77" t="n"/>
      <c r="H758" s="77" t="n"/>
      <c r="I758" s="79" t="n"/>
      <c r="J758" s="110" t="n"/>
      <c r="K758" s="111" t="n"/>
      <c r="L758" s="112" t="n"/>
      <c r="M758" s="83" t="n"/>
      <c r="N758" s="84" t="n"/>
    </row>
    <row r="759" ht="15.75" customHeight="1">
      <c r="A759" s="76" t="n"/>
      <c r="B759" s="77" t="n"/>
      <c r="C759" s="78" t="n"/>
      <c r="E759" s="78" t="n"/>
      <c r="F759" s="78" t="n"/>
      <c r="G759" s="77" t="n"/>
      <c r="H759" s="77" t="n"/>
      <c r="I759" s="79" t="n"/>
      <c r="J759" s="110" t="n"/>
      <c r="K759" s="111" t="n"/>
      <c r="L759" s="112" t="n"/>
      <c r="M759" s="83" t="n"/>
      <c r="N759" s="84" t="n"/>
    </row>
    <row r="760" ht="15.75" customHeight="1">
      <c r="A760" s="76" t="n"/>
      <c r="B760" s="77" t="n"/>
      <c r="C760" s="78" t="n"/>
      <c r="E760" s="78" t="n"/>
      <c r="F760" s="78" t="n"/>
      <c r="G760" s="77" t="n"/>
      <c r="H760" s="77" t="n"/>
      <c r="I760" s="79" t="n"/>
      <c r="J760" s="110" t="n"/>
      <c r="K760" s="111" t="n"/>
      <c r="L760" s="112" t="n"/>
      <c r="M760" s="83" t="n"/>
      <c r="N760" s="84" t="n"/>
    </row>
    <row r="761" ht="15.75" customHeight="1">
      <c r="A761" s="76" t="n"/>
      <c r="B761" s="77" t="n"/>
      <c r="C761" s="78" t="n"/>
      <c r="E761" s="78" t="n"/>
      <c r="F761" s="78" t="n"/>
      <c r="G761" s="77" t="n"/>
      <c r="H761" s="77" t="n"/>
      <c r="I761" s="79" t="n"/>
      <c r="J761" s="110" t="n"/>
      <c r="K761" s="111" t="n"/>
      <c r="L761" s="112" t="n"/>
      <c r="M761" s="83" t="n"/>
      <c r="N761" s="84" t="n"/>
    </row>
    <row r="762" ht="15.75" customHeight="1">
      <c r="A762" s="76" t="n"/>
      <c r="B762" s="77" t="n"/>
      <c r="C762" s="78" t="n"/>
      <c r="E762" s="78" t="n"/>
      <c r="F762" s="78" t="n"/>
      <c r="G762" s="77" t="n"/>
      <c r="H762" s="77" t="n"/>
      <c r="I762" s="79" t="n"/>
      <c r="J762" s="110" t="n"/>
      <c r="K762" s="111" t="n"/>
      <c r="L762" s="112" t="n"/>
      <c r="M762" s="83" t="n"/>
      <c r="N762" s="84" t="n"/>
    </row>
    <row r="763" ht="15.75" customHeight="1">
      <c r="A763" s="76" t="n"/>
      <c r="B763" s="77" t="n"/>
      <c r="C763" s="78" t="n"/>
      <c r="E763" s="78" t="n"/>
      <c r="F763" s="78" t="n"/>
      <c r="G763" s="77" t="n"/>
      <c r="H763" s="77" t="n"/>
      <c r="I763" s="79" t="n"/>
      <c r="J763" s="110" t="n"/>
      <c r="K763" s="111" t="n"/>
      <c r="L763" s="112" t="n"/>
      <c r="M763" s="83" t="n"/>
      <c r="N763" s="84" t="n"/>
    </row>
    <row r="764" ht="15.75" customHeight="1">
      <c r="A764" s="76" t="n"/>
      <c r="B764" s="77" t="n"/>
      <c r="C764" s="78" t="n"/>
      <c r="E764" s="78" t="n"/>
      <c r="F764" s="78" t="n"/>
      <c r="G764" s="77" t="n"/>
      <c r="H764" s="77" t="n"/>
      <c r="I764" s="79" t="n"/>
      <c r="J764" s="110" t="n"/>
      <c r="K764" s="111" t="n"/>
      <c r="L764" s="112" t="n"/>
      <c r="M764" s="83" t="n"/>
      <c r="N764" s="84" t="n"/>
    </row>
    <row r="765" ht="15.75" customHeight="1">
      <c r="A765" s="76" t="n"/>
      <c r="B765" s="77" t="n"/>
      <c r="C765" s="78" t="n"/>
      <c r="E765" s="78" t="n"/>
      <c r="F765" s="78" t="n"/>
      <c r="G765" s="77" t="n"/>
      <c r="H765" s="77" t="n"/>
      <c r="I765" s="79" t="n"/>
      <c r="J765" s="110" t="n"/>
      <c r="K765" s="111" t="n"/>
      <c r="L765" s="112" t="n"/>
      <c r="M765" s="83" t="n"/>
      <c r="N765" s="84" t="n"/>
    </row>
    <row r="766" ht="15.75" customHeight="1">
      <c r="A766" s="76" t="n"/>
      <c r="B766" s="77" t="n"/>
      <c r="C766" s="78" t="n"/>
      <c r="E766" s="78" t="n"/>
      <c r="F766" s="78" t="n"/>
      <c r="G766" s="77" t="n"/>
      <c r="H766" s="77" t="n"/>
      <c r="I766" s="79" t="n"/>
      <c r="J766" s="110" t="n"/>
      <c r="K766" s="111" t="n"/>
      <c r="L766" s="112" t="n"/>
      <c r="M766" s="83" t="n"/>
      <c r="N766" s="84" t="n"/>
    </row>
    <row r="767" ht="15.75" customHeight="1">
      <c r="A767" s="76" t="n"/>
      <c r="B767" s="77" t="n"/>
      <c r="C767" s="78" t="n"/>
      <c r="E767" s="78" t="n"/>
      <c r="F767" s="78" t="n"/>
      <c r="G767" s="77" t="n"/>
      <c r="H767" s="77" t="n"/>
      <c r="I767" s="79" t="n"/>
      <c r="J767" s="110" t="n"/>
      <c r="K767" s="111" t="n"/>
      <c r="L767" s="112" t="n"/>
      <c r="M767" s="83" t="n"/>
      <c r="N767" s="84" t="n"/>
    </row>
    <row r="768" ht="15.75" customHeight="1">
      <c r="A768" s="76" t="n"/>
      <c r="B768" s="77" t="n"/>
      <c r="C768" s="78" t="n"/>
      <c r="E768" s="78" t="n"/>
      <c r="F768" s="78" t="n"/>
      <c r="G768" s="77" t="n"/>
      <c r="H768" s="77" t="n"/>
      <c r="I768" s="79" t="n"/>
      <c r="J768" s="110" t="n"/>
      <c r="K768" s="111" t="n"/>
      <c r="L768" s="112" t="n"/>
      <c r="M768" s="83" t="n"/>
      <c r="N768" s="84" t="n"/>
    </row>
    <row r="769" ht="15.75" customHeight="1">
      <c r="A769" s="76" t="n"/>
      <c r="B769" s="77" t="n"/>
      <c r="C769" s="78" t="n"/>
      <c r="E769" s="78" t="n"/>
      <c r="F769" s="78" t="n"/>
      <c r="G769" s="77" t="n"/>
      <c r="H769" s="77" t="n"/>
      <c r="I769" s="79" t="n"/>
      <c r="J769" s="110" t="n"/>
      <c r="K769" s="111" t="n"/>
      <c r="L769" s="112" t="n"/>
      <c r="M769" s="83" t="n"/>
      <c r="N769" s="84" t="n"/>
    </row>
    <row r="770" ht="15.75" customHeight="1">
      <c r="A770" s="76" t="n"/>
      <c r="B770" s="77" t="n"/>
      <c r="C770" s="78" t="n"/>
      <c r="E770" s="78" t="n"/>
      <c r="F770" s="78" t="n"/>
      <c r="G770" s="77" t="n"/>
      <c r="H770" s="77" t="n"/>
      <c r="I770" s="79" t="n"/>
      <c r="J770" s="110" t="n"/>
      <c r="K770" s="111" t="n"/>
      <c r="L770" s="112" t="n"/>
      <c r="M770" s="83" t="n"/>
      <c r="N770" s="84" t="n"/>
    </row>
    <row r="771" ht="15.75" customHeight="1">
      <c r="A771" s="76" t="n"/>
      <c r="B771" s="77" t="n"/>
      <c r="C771" s="78" t="n"/>
      <c r="E771" s="78" t="n"/>
      <c r="F771" s="78" t="n"/>
      <c r="G771" s="77" t="n"/>
      <c r="H771" s="77" t="n"/>
      <c r="I771" s="79" t="n"/>
      <c r="J771" s="110" t="n"/>
      <c r="K771" s="111" t="n"/>
      <c r="L771" s="112" t="n"/>
      <c r="M771" s="83" t="n"/>
      <c r="N771" s="84" t="n"/>
    </row>
    <row r="772" ht="15.75" customHeight="1">
      <c r="A772" s="76" t="n"/>
      <c r="B772" s="77" t="n"/>
      <c r="C772" s="78" t="n"/>
      <c r="E772" s="78" t="n"/>
      <c r="F772" s="78" t="n"/>
      <c r="G772" s="77" t="n"/>
      <c r="H772" s="77" t="n"/>
      <c r="I772" s="79" t="n"/>
      <c r="J772" s="110" t="n"/>
      <c r="K772" s="111" t="n"/>
      <c r="L772" s="112" t="n"/>
      <c r="M772" s="83" t="n"/>
      <c r="N772" s="84" t="n"/>
    </row>
    <row r="773" ht="15.75" customHeight="1">
      <c r="A773" s="76" t="n"/>
      <c r="B773" s="77" t="n"/>
      <c r="C773" s="78" t="n"/>
      <c r="E773" s="78" t="n"/>
      <c r="F773" s="78" t="n"/>
      <c r="G773" s="77" t="n"/>
      <c r="H773" s="77" t="n"/>
      <c r="I773" s="79" t="n"/>
      <c r="J773" s="110" t="n"/>
      <c r="K773" s="111" t="n"/>
      <c r="L773" s="112" t="n"/>
      <c r="M773" s="83" t="n"/>
      <c r="N773" s="84" t="n"/>
    </row>
    <row r="774" ht="15.75" customHeight="1">
      <c r="A774" s="76" t="n"/>
      <c r="B774" s="77" t="n"/>
      <c r="C774" s="78" t="n"/>
      <c r="E774" s="78" t="n"/>
      <c r="F774" s="78" t="n"/>
      <c r="G774" s="77" t="n"/>
      <c r="H774" s="77" t="n"/>
      <c r="I774" s="79" t="n"/>
      <c r="J774" s="110" t="n"/>
      <c r="K774" s="111" t="n"/>
      <c r="L774" s="112" t="n"/>
      <c r="M774" s="83" t="n"/>
      <c r="N774" s="84" t="n"/>
    </row>
    <row r="775" ht="15.75" customHeight="1">
      <c r="A775" s="76" t="n"/>
      <c r="B775" s="77" t="n"/>
      <c r="C775" s="78" t="n"/>
      <c r="E775" s="78" t="n"/>
      <c r="F775" s="78" t="n"/>
      <c r="G775" s="77" t="n"/>
      <c r="H775" s="77" t="n"/>
      <c r="I775" s="79" t="n"/>
      <c r="J775" s="110" t="n"/>
      <c r="K775" s="111" t="n"/>
      <c r="L775" s="112" t="n"/>
      <c r="M775" s="83" t="n"/>
      <c r="N775" s="84" t="n"/>
    </row>
    <row r="776" ht="15.75" customHeight="1">
      <c r="A776" s="76" t="n"/>
      <c r="B776" s="77" t="n"/>
      <c r="C776" s="78" t="n"/>
      <c r="E776" s="78" t="n"/>
      <c r="F776" s="78" t="n"/>
      <c r="G776" s="77" t="n"/>
      <c r="H776" s="77" t="n"/>
      <c r="I776" s="79" t="n"/>
      <c r="J776" s="110" t="n"/>
      <c r="K776" s="111" t="n"/>
      <c r="L776" s="112" t="n"/>
      <c r="M776" s="83" t="n"/>
      <c r="N776" s="84" t="n"/>
    </row>
    <row r="777" ht="15.75" customHeight="1">
      <c r="A777" s="76" t="n"/>
      <c r="B777" s="77" t="n"/>
      <c r="C777" s="78" t="n"/>
      <c r="E777" s="78" t="n"/>
      <c r="F777" s="78" t="n"/>
      <c r="G777" s="77" t="n"/>
      <c r="H777" s="77" t="n"/>
      <c r="I777" s="79" t="n"/>
      <c r="J777" s="110" t="n"/>
      <c r="K777" s="111" t="n"/>
      <c r="L777" s="112" t="n"/>
      <c r="M777" s="83" t="n"/>
      <c r="N777" s="84" t="n"/>
    </row>
    <row r="778" ht="15.75" customHeight="1">
      <c r="A778" s="76" t="n"/>
      <c r="B778" s="77" t="n"/>
      <c r="C778" s="78" t="n"/>
      <c r="E778" s="78" t="n"/>
      <c r="F778" s="78" t="n"/>
      <c r="G778" s="77" t="n"/>
      <c r="H778" s="77" t="n"/>
      <c r="I778" s="79" t="n"/>
      <c r="J778" s="110" t="n"/>
      <c r="K778" s="111" t="n"/>
      <c r="L778" s="112" t="n"/>
      <c r="M778" s="83" t="n"/>
      <c r="N778" s="84" t="n"/>
    </row>
    <row r="779" ht="15.75" customHeight="1">
      <c r="A779" s="76" t="n"/>
      <c r="B779" s="77" t="n"/>
      <c r="C779" s="78" t="n"/>
      <c r="E779" s="78" t="n"/>
      <c r="F779" s="78" t="n"/>
      <c r="G779" s="77" t="n"/>
      <c r="H779" s="77" t="n"/>
      <c r="I779" s="79" t="n"/>
      <c r="J779" s="110" t="n"/>
      <c r="K779" s="111" t="n"/>
      <c r="L779" s="112" t="n"/>
      <c r="M779" s="83" t="n"/>
      <c r="N779" s="84" t="n"/>
    </row>
    <row r="780" ht="15.75" customHeight="1">
      <c r="A780" s="76" t="n"/>
      <c r="B780" s="77" t="n"/>
      <c r="C780" s="78" t="n"/>
      <c r="E780" s="78" t="n"/>
      <c r="F780" s="78" t="n"/>
      <c r="G780" s="77" t="n"/>
      <c r="H780" s="77" t="n"/>
      <c r="I780" s="79" t="n"/>
      <c r="J780" s="110" t="n"/>
      <c r="K780" s="111" t="n"/>
      <c r="L780" s="112" t="n"/>
      <c r="M780" s="83" t="n"/>
      <c r="N780" s="84" t="n"/>
    </row>
    <row r="781" ht="15.75" customHeight="1">
      <c r="A781" s="76" t="n"/>
      <c r="B781" s="77" t="n"/>
      <c r="C781" s="78" t="n"/>
      <c r="E781" s="78" t="n"/>
      <c r="F781" s="78" t="n"/>
      <c r="G781" s="77" t="n"/>
      <c r="H781" s="77" t="n"/>
      <c r="I781" s="79" t="n"/>
      <c r="J781" s="110" t="n"/>
      <c r="K781" s="111" t="n"/>
      <c r="L781" s="112" t="n"/>
      <c r="M781" s="83" t="n"/>
      <c r="N781" s="84" t="n"/>
    </row>
    <row r="782" ht="15.75" customHeight="1">
      <c r="A782" s="76" t="n"/>
      <c r="B782" s="77" t="n"/>
      <c r="C782" s="78" t="n"/>
      <c r="E782" s="78" t="n"/>
      <c r="F782" s="78" t="n"/>
      <c r="G782" s="77" t="n"/>
      <c r="H782" s="77" t="n"/>
      <c r="I782" s="79" t="n"/>
      <c r="J782" s="110" t="n"/>
      <c r="K782" s="111" t="n"/>
      <c r="L782" s="112" t="n"/>
      <c r="M782" s="83" t="n"/>
      <c r="N782" s="84" t="n"/>
    </row>
    <row r="783" ht="15.75" customHeight="1">
      <c r="A783" s="76" t="n"/>
      <c r="B783" s="77" t="n"/>
      <c r="C783" s="78" t="n"/>
      <c r="E783" s="78" t="n"/>
      <c r="F783" s="78" t="n"/>
      <c r="G783" s="77" t="n"/>
      <c r="H783" s="77" t="n"/>
      <c r="I783" s="79" t="n"/>
      <c r="J783" s="110" t="n"/>
      <c r="K783" s="111" t="n"/>
      <c r="L783" s="112" t="n"/>
      <c r="M783" s="83" t="n"/>
      <c r="N783" s="84" t="n"/>
    </row>
    <row r="784" ht="15.75" customHeight="1">
      <c r="A784" s="76" t="n"/>
      <c r="B784" s="77" t="n"/>
      <c r="C784" s="78" t="n"/>
      <c r="E784" s="78" t="n"/>
      <c r="F784" s="78" t="n"/>
      <c r="G784" s="77" t="n"/>
      <c r="H784" s="77" t="n"/>
      <c r="I784" s="79" t="n"/>
      <c r="J784" s="110" t="n"/>
      <c r="K784" s="111" t="n"/>
      <c r="L784" s="112" t="n"/>
      <c r="M784" s="83" t="n"/>
      <c r="N784" s="84" t="n"/>
    </row>
    <row r="785" ht="15.75" customHeight="1">
      <c r="A785" s="76" t="n"/>
      <c r="B785" s="77" t="n"/>
      <c r="C785" s="78" t="n"/>
      <c r="E785" s="78" t="n"/>
      <c r="F785" s="78" t="n"/>
      <c r="G785" s="77" t="n"/>
      <c r="H785" s="77" t="n"/>
      <c r="I785" s="79" t="n"/>
      <c r="J785" s="110" t="n"/>
      <c r="K785" s="111" t="n"/>
      <c r="L785" s="112" t="n"/>
      <c r="M785" s="83" t="n"/>
      <c r="N785" s="84" t="n"/>
    </row>
    <row r="786" ht="15.75" customHeight="1">
      <c r="A786" s="76" t="n"/>
      <c r="B786" s="77" t="n"/>
      <c r="C786" s="78" t="n"/>
      <c r="E786" s="78" t="n"/>
      <c r="F786" s="78" t="n"/>
      <c r="G786" s="77" t="n"/>
      <c r="H786" s="77" t="n"/>
      <c r="I786" s="79" t="n"/>
      <c r="J786" s="110" t="n"/>
      <c r="K786" s="111" t="n"/>
      <c r="L786" s="112" t="n"/>
      <c r="M786" s="83" t="n"/>
      <c r="N786" s="84" t="n"/>
    </row>
    <row r="787" ht="15.75" customHeight="1">
      <c r="A787" s="76" t="n"/>
      <c r="B787" s="77" t="n"/>
      <c r="C787" s="78" t="n"/>
      <c r="E787" s="78" t="n"/>
      <c r="F787" s="78" t="n"/>
      <c r="G787" s="77" t="n"/>
      <c r="H787" s="77" t="n"/>
      <c r="I787" s="79" t="n"/>
      <c r="J787" s="110" t="n"/>
      <c r="K787" s="111" t="n"/>
      <c r="L787" s="112" t="n"/>
      <c r="M787" s="83" t="n"/>
      <c r="N787" s="84" t="n"/>
    </row>
    <row r="788" ht="15.75" customHeight="1">
      <c r="A788" s="76" t="n"/>
      <c r="B788" s="77" t="n"/>
      <c r="C788" s="78" t="n"/>
      <c r="E788" s="78" t="n"/>
      <c r="F788" s="78" t="n"/>
      <c r="G788" s="77" t="n"/>
      <c r="H788" s="77" t="n"/>
      <c r="I788" s="79" t="n"/>
      <c r="J788" s="110" t="n"/>
      <c r="K788" s="111" t="n"/>
      <c r="L788" s="112" t="n"/>
      <c r="M788" s="83" t="n"/>
      <c r="N788" s="84" t="n"/>
    </row>
    <row r="789" ht="15.75" customHeight="1">
      <c r="A789" s="76" t="n"/>
      <c r="B789" s="77" t="n"/>
      <c r="C789" s="78" t="n"/>
      <c r="E789" s="78" t="n"/>
      <c r="F789" s="78" t="n"/>
      <c r="G789" s="77" t="n"/>
      <c r="H789" s="77" t="n"/>
      <c r="I789" s="79" t="n"/>
      <c r="J789" s="110" t="n"/>
      <c r="K789" s="111" t="n"/>
      <c r="L789" s="112" t="n"/>
      <c r="M789" s="83" t="n"/>
      <c r="N789" s="84" t="n"/>
    </row>
    <row r="790" ht="15.75" customHeight="1">
      <c r="A790" s="76" t="n"/>
      <c r="B790" s="77" t="n"/>
      <c r="C790" s="78" t="n"/>
      <c r="E790" s="78" t="n"/>
      <c r="F790" s="78" t="n"/>
      <c r="G790" s="77" t="n"/>
      <c r="H790" s="77" t="n"/>
      <c r="I790" s="79" t="n"/>
      <c r="J790" s="110" t="n"/>
      <c r="K790" s="111" t="n"/>
      <c r="L790" s="112" t="n"/>
      <c r="M790" s="83" t="n"/>
      <c r="N790" s="84" t="n"/>
    </row>
    <row r="791" ht="15.75" customHeight="1">
      <c r="A791" s="76" t="n"/>
      <c r="B791" s="77" t="n"/>
      <c r="C791" s="78" t="n"/>
      <c r="E791" s="78" t="n"/>
      <c r="F791" s="78" t="n"/>
      <c r="G791" s="77" t="n"/>
      <c r="H791" s="77" t="n"/>
      <c r="I791" s="79" t="n"/>
      <c r="J791" s="110" t="n"/>
      <c r="K791" s="111" t="n"/>
      <c r="L791" s="112" t="n"/>
      <c r="M791" s="83" t="n"/>
      <c r="N791" s="84" t="n"/>
    </row>
    <row r="792" ht="15.75" customHeight="1">
      <c r="A792" s="76" t="n"/>
      <c r="B792" s="77" t="n"/>
      <c r="C792" s="78" t="n"/>
      <c r="E792" s="78" t="n"/>
      <c r="F792" s="78" t="n"/>
      <c r="G792" s="77" t="n"/>
      <c r="H792" s="77" t="n"/>
      <c r="I792" s="79" t="n"/>
      <c r="J792" s="110" t="n"/>
      <c r="K792" s="111" t="n"/>
      <c r="L792" s="112" t="n"/>
      <c r="M792" s="83" t="n"/>
      <c r="N792" s="84" t="n"/>
    </row>
    <row r="793" ht="15.75" customHeight="1">
      <c r="A793" s="76" t="n"/>
      <c r="B793" s="77" t="n"/>
      <c r="C793" s="78" t="n"/>
      <c r="E793" s="78" t="n"/>
      <c r="F793" s="78" t="n"/>
      <c r="G793" s="77" t="n"/>
      <c r="H793" s="77" t="n"/>
      <c r="I793" s="79" t="n"/>
      <c r="J793" s="110" t="n"/>
      <c r="K793" s="111" t="n"/>
      <c r="L793" s="112" t="n"/>
      <c r="M793" s="83" t="n"/>
      <c r="N793" s="84" t="n"/>
    </row>
    <row r="794" ht="15.75" customHeight="1">
      <c r="A794" s="76" t="n"/>
      <c r="B794" s="77" t="n"/>
      <c r="C794" s="78" t="n"/>
      <c r="E794" s="78" t="n"/>
      <c r="F794" s="78" t="n"/>
      <c r="G794" s="77" t="n"/>
      <c r="H794" s="77" t="n"/>
      <c r="I794" s="79" t="n"/>
      <c r="J794" s="110" t="n"/>
      <c r="K794" s="111" t="n"/>
      <c r="L794" s="112" t="n"/>
      <c r="M794" s="83" t="n"/>
      <c r="N794" s="84" t="n"/>
    </row>
    <row r="795" ht="15.75" customHeight="1">
      <c r="A795" s="76" t="n"/>
      <c r="B795" s="77" t="n"/>
      <c r="C795" s="78" t="n"/>
      <c r="E795" s="78" t="n"/>
      <c r="F795" s="78" t="n"/>
      <c r="G795" s="77" t="n"/>
      <c r="H795" s="77" t="n"/>
      <c r="I795" s="79" t="n"/>
      <c r="J795" s="110" t="n"/>
      <c r="K795" s="111" t="n"/>
      <c r="L795" s="112" t="n"/>
      <c r="M795" s="83" t="n"/>
      <c r="N795" s="84" t="n"/>
    </row>
    <row r="796" ht="15.75" customHeight="1">
      <c r="A796" s="76" t="n"/>
      <c r="B796" s="77" t="n"/>
      <c r="C796" s="78" t="n"/>
      <c r="E796" s="78" t="n"/>
      <c r="F796" s="78" t="n"/>
      <c r="G796" s="77" t="n"/>
      <c r="H796" s="77" t="n"/>
      <c r="I796" s="79" t="n"/>
      <c r="J796" s="110" t="n"/>
      <c r="K796" s="111" t="n"/>
      <c r="L796" s="112" t="n"/>
      <c r="M796" s="83" t="n"/>
      <c r="N796" s="84" t="n"/>
    </row>
    <row r="797" ht="15.75" customHeight="1">
      <c r="A797" s="76" t="n"/>
      <c r="B797" s="77" t="n"/>
      <c r="C797" s="78" t="n"/>
      <c r="E797" s="78" t="n"/>
      <c r="F797" s="78" t="n"/>
      <c r="G797" s="77" t="n"/>
      <c r="H797" s="77" t="n"/>
      <c r="I797" s="79" t="n"/>
      <c r="J797" s="110" t="n"/>
      <c r="K797" s="111" t="n"/>
      <c r="L797" s="112" t="n"/>
      <c r="M797" s="83" t="n"/>
      <c r="N797" s="84" t="n"/>
    </row>
    <row r="798" ht="15.75" customHeight="1">
      <c r="A798" s="76" t="n"/>
      <c r="B798" s="77" t="n"/>
      <c r="C798" s="78" t="n"/>
      <c r="E798" s="78" t="n"/>
      <c r="F798" s="78" t="n"/>
      <c r="G798" s="77" t="n"/>
      <c r="H798" s="77" t="n"/>
      <c r="I798" s="79" t="n"/>
      <c r="J798" s="110" t="n"/>
      <c r="K798" s="111" t="n"/>
      <c r="L798" s="112" t="n"/>
      <c r="M798" s="83" t="n"/>
      <c r="N798" s="84" t="n"/>
    </row>
    <row r="799" ht="15.75" customHeight="1">
      <c r="A799" s="76" t="n"/>
      <c r="B799" s="77" t="n"/>
      <c r="C799" s="78" t="n"/>
      <c r="E799" s="78" t="n"/>
      <c r="F799" s="78" t="n"/>
      <c r="G799" s="77" t="n"/>
      <c r="H799" s="77" t="n"/>
      <c r="I799" s="79" t="n"/>
      <c r="J799" s="110" t="n"/>
      <c r="K799" s="111" t="n"/>
      <c r="L799" s="112" t="n"/>
      <c r="M799" s="83" t="n"/>
      <c r="N799" s="84" t="n"/>
    </row>
    <row r="800" ht="15.75" customHeight="1">
      <c r="A800" s="76" t="n"/>
      <c r="B800" s="77" t="n"/>
      <c r="C800" s="78" t="n"/>
      <c r="E800" s="78" t="n"/>
      <c r="F800" s="78" t="n"/>
      <c r="G800" s="77" t="n"/>
      <c r="H800" s="77" t="n"/>
      <c r="I800" s="79" t="n"/>
      <c r="J800" s="110" t="n"/>
      <c r="K800" s="111" t="n"/>
      <c r="L800" s="112" t="n"/>
      <c r="M800" s="83" t="n"/>
      <c r="N800" s="84" t="n"/>
    </row>
    <row r="801" ht="15.75" customHeight="1">
      <c r="A801" s="76" t="n"/>
      <c r="B801" s="77" t="n"/>
      <c r="C801" s="78" t="n"/>
      <c r="E801" s="78" t="n"/>
      <c r="F801" s="78" t="n"/>
      <c r="G801" s="77" t="n"/>
      <c r="H801" s="77" t="n"/>
      <c r="I801" s="79" t="n"/>
      <c r="J801" s="110" t="n"/>
      <c r="K801" s="111" t="n"/>
      <c r="L801" s="112" t="n"/>
      <c r="M801" s="83" t="n"/>
      <c r="N801" s="84" t="n"/>
    </row>
    <row r="802" ht="15.75" customHeight="1">
      <c r="A802" s="76" t="n"/>
      <c r="B802" s="77" t="n"/>
      <c r="C802" s="78" t="n"/>
      <c r="E802" s="78" t="n"/>
      <c r="F802" s="78" t="n"/>
      <c r="G802" s="77" t="n"/>
      <c r="H802" s="77" t="n"/>
      <c r="I802" s="79" t="n"/>
      <c r="J802" s="110" t="n"/>
      <c r="K802" s="111" t="n"/>
      <c r="L802" s="112" t="n"/>
      <c r="M802" s="83" t="n"/>
      <c r="N802" s="84" t="n"/>
    </row>
    <row r="803" ht="15.75" customHeight="1">
      <c r="A803" s="76" t="n"/>
      <c r="B803" s="77" t="n"/>
      <c r="C803" s="78" t="n"/>
      <c r="E803" s="78" t="n"/>
      <c r="F803" s="78" t="n"/>
      <c r="G803" s="77" t="n"/>
      <c r="H803" s="77" t="n"/>
      <c r="I803" s="79" t="n"/>
      <c r="J803" s="110" t="n"/>
      <c r="K803" s="111" t="n"/>
      <c r="L803" s="112" t="n"/>
      <c r="M803" s="83" t="n"/>
      <c r="N803" s="84" t="n"/>
    </row>
    <row r="804" ht="15.75" customHeight="1">
      <c r="A804" s="76" t="n"/>
      <c r="B804" s="77" t="n"/>
      <c r="C804" s="78" t="n"/>
      <c r="E804" s="78" t="n"/>
      <c r="F804" s="78" t="n"/>
      <c r="G804" s="77" t="n"/>
      <c r="H804" s="77" t="n"/>
      <c r="I804" s="79" t="n"/>
      <c r="J804" s="110" t="n"/>
      <c r="K804" s="111" t="n"/>
      <c r="L804" s="112" t="n"/>
      <c r="M804" s="83" t="n"/>
      <c r="N804" s="84" t="n"/>
    </row>
    <row r="805" ht="15.75" customHeight="1">
      <c r="A805" s="76" t="n"/>
      <c r="B805" s="77" t="n"/>
      <c r="C805" s="78" t="n"/>
      <c r="E805" s="78" t="n"/>
      <c r="F805" s="78" t="n"/>
      <c r="G805" s="77" t="n"/>
      <c r="H805" s="77" t="n"/>
      <c r="I805" s="79" t="n"/>
      <c r="J805" s="110" t="n"/>
      <c r="K805" s="111" t="n"/>
      <c r="L805" s="112" t="n"/>
      <c r="M805" s="83" t="n"/>
      <c r="N805" s="84" t="n"/>
    </row>
    <row r="806" ht="15.75" customHeight="1">
      <c r="A806" s="76" t="n"/>
      <c r="B806" s="77" t="n"/>
      <c r="C806" s="78" t="n"/>
      <c r="E806" s="78" t="n"/>
      <c r="F806" s="78" t="n"/>
      <c r="G806" s="77" t="n"/>
      <c r="H806" s="77" t="n"/>
      <c r="I806" s="79" t="n"/>
      <c r="J806" s="110" t="n"/>
      <c r="K806" s="111" t="n"/>
      <c r="L806" s="112" t="n"/>
      <c r="M806" s="83" t="n"/>
      <c r="N806" s="84" t="n"/>
    </row>
    <row r="807" ht="15.75" customHeight="1">
      <c r="A807" s="76" t="n"/>
      <c r="B807" s="77" t="n"/>
      <c r="C807" s="78" t="n"/>
      <c r="E807" s="78" t="n"/>
      <c r="F807" s="78" t="n"/>
      <c r="G807" s="77" t="n"/>
      <c r="H807" s="77" t="n"/>
      <c r="I807" s="79" t="n"/>
      <c r="J807" s="110" t="n"/>
      <c r="K807" s="111" t="n"/>
      <c r="L807" s="112" t="n"/>
      <c r="M807" s="83" t="n"/>
      <c r="N807" s="84" t="n"/>
    </row>
    <row r="808" ht="15.75" customHeight="1">
      <c r="A808" s="76" t="n"/>
      <c r="B808" s="77" t="n"/>
      <c r="C808" s="78" t="n"/>
      <c r="E808" s="78" t="n"/>
      <c r="F808" s="78" t="n"/>
      <c r="G808" s="77" t="n"/>
      <c r="H808" s="77" t="n"/>
      <c r="I808" s="79" t="n"/>
      <c r="J808" s="110" t="n"/>
      <c r="K808" s="111" t="n"/>
      <c r="L808" s="112" t="n"/>
      <c r="M808" s="83" t="n"/>
      <c r="N808" s="84" t="n"/>
    </row>
    <row r="809" ht="15.75" customHeight="1">
      <c r="A809" s="76" t="n"/>
      <c r="B809" s="77" t="n"/>
      <c r="C809" s="78" t="n"/>
      <c r="E809" s="78" t="n"/>
      <c r="F809" s="78" t="n"/>
      <c r="G809" s="77" t="n"/>
      <c r="H809" s="77" t="n"/>
      <c r="I809" s="79" t="n"/>
      <c r="J809" s="110" t="n"/>
      <c r="K809" s="111" t="n"/>
      <c r="L809" s="112" t="n"/>
      <c r="M809" s="83" t="n"/>
      <c r="N809" s="84" t="n"/>
    </row>
    <row r="810" ht="15.75" customHeight="1">
      <c r="A810" s="76" t="n"/>
      <c r="B810" s="77" t="n"/>
      <c r="C810" s="78" t="n"/>
      <c r="E810" s="78" t="n"/>
      <c r="F810" s="78" t="n"/>
      <c r="G810" s="77" t="n"/>
      <c r="H810" s="77" t="n"/>
      <c r="I810" s="79" t="n"/>
      <c r="J810" s="110" t="n"/>
      <c r="K810" s="111" t="n"/>
      <c r="L810" s="112" t="n"/>
      <c r="M810" s="83" t="n"/>
      <c r="N810" s="84" t="n"/>
    </row>
    <row r="811" ht="15.75" customHeight="1">
      <c r="A811" s="76" t="n"/>
      <c r="B811" s="77" t="n"/>
      <c r="C811" s="78" t="n"/>
      <c r="E811" s="78" t="n"/>
      <c r="F811" s="78" t="n"/>
      <c r="G811" s="77" t="n"/>
      <c r="H811" s="77" t="n"/>
      <c r="I811" s="79" t="n"/>
      <c r="J811" s="110" t="n"/>
      <c r="K811" s="111" t="n"/>
      <c r="L811" s="112" t="n"/>
      <c r="M811" s="83" t="n"/>
      <c r="N811" s="84" t="n"/>
    </row>
    <row r="812" ht="15.75" customHeight="1">
      <c r="A812" s="76" t="n"/>
      <c r="B812" s="77" t="n"/>
      <c r="C812" s="78" t="n"/>
      <c r="E812" s="78" t="n"/>
      <c r="F812" s="78" t="n"/>
      <c r="G812" s="77" t="n"/>
      <c r="H812" s="77" t="n"/>
      <c r="I812" s="79" t="n"/>
      <c r="J812" s="110" t="n"/>
      <c r="K812" s="111" t="n"/>
      <c r="L812" s="112" t="n"/>
      <c r="M812" s="83" t="n"/>
      <c r="N812" s="84" t="n"/>
    </row>
    <row r="813" ht="15.75" customHeight="1">
      <c r="A813" s="76" t="n"/>
      <c r="B813" s="77" t="n"/>
      <c r="C813" s="78" t="n"/>
      <c r="E813" s="78" t="n"/>
      <c r="F813" s="78" t="n"/>
      <c r="G813" s="77" t="n"/>
      <c r="H813" s="77" t="n"/>
      <c r="I813" s="79" t="n"/>
      <c r="J813" s="110" t="n"/>
      <c r="K813" s="111" t="n"/>
      <c r="L813" s="112" t="n"/>
      <c r="M813" s="83" t="n"/>
      <c r="N813" s="84" t="n"/>
    </row>
    <row r="814" ht="15.75" customHeight="1">
      <c r="A814" s="76" t="n"/>
      <c r="B814" s="77" t="n"/>
      <c r="C814" s="78" t="n"/>
      <c r="E814" s="78" t="n"/>
      <c r="F814" s="78" t="n"/>
      <c r="G814" s="77" t="n"/>
      <c r="H814" s="77" t="n"/>
      <c r="I814" s="79" t="n"/>
      <c r="J814" s="110" t="n"/>
      <c r="K814" s="111" t="n"/>
      <c r="L814" s="112" t="n"/>
      <c r="M814" s="83" t="n"/>
      <c r="N814" s="84" t="n"/>
    </row>
    <row r="815" ht="15.75" customHeight="1">
      <c r="A815" s="76" t="n"/>
      <c r="B815" s="77" t="n"/>
      <c r="C815" s="78" t="n"/>
      <c r="E815" s="78" t="n"/>
      <c r="F815" s="78" t="n"/>
      <c r="G815" s="77" t="n"/>
      <c r="H815" s="77" t="n"/>
      <c r="I815" s="79" t="n"/>
      <c r="J815" s="110" t="n"/>
      <c r="K815" s="111" t="n"/>
      <c r="L815" s="112" t="n"/>
      <c r="M815" s="83" t="n"/>
      <c r="N815" s="84" t="n"/>
    </row>
    <row r="816" ht="15.75" customHeight="1">
      <c r="A816" s="76" t="n"/>
      <c r="B816" s="77" t="n"/>
      <c r="C816" s="78" t="n"/>
      <c r="E816" s="78" t="n"/>
      <c r="F816" s="78" t="n"/>
      <c r="G816" s="77" t="n"/>
      <c r="H816" s="77" t="n"/>
      <c r="I816" s="79" t="n"/>
      <c r="J816" s="110" t="n"/>
      <c r="K816" s="111" t="n"/>
      <c r="L816" s="112" t="n"/>
      <c r="M816" s="83" t="n"/>
      <c r="N816" s="84" t="n"/>
    </row>
    <row r="817" ht="15.75" customHeight="1">
      <c r="A817" s="76" t="n"/>
      <c r="B817" s="77" t="n"/>
      <c r="C817" s="78" t="n"/>
      <c r="E817" s="78" t="n"/>
      <c r="F817" s="78" t="n"/>
      <c r="G817" s="77" t="n"/>
      <c r="H817" s="77" t="n"/>
      <c r="I817" s="79" t="n"/>
      <c r="J817" s="110" t="n"/>
      <c r="K817" s="111" t="n"/>
      <c r="L817" s="112" t="n"/>
      <c r="M817" s="83" t="n"/>
      <c r="N817" s="84" t="n"/>
    </row>
    <row r="818" ht="15.75" customHeight="1">
      <c r="A818" s="76" t="n"/>
      <c r="B818" s="77" t="n"/>
      <c r="C818" s="78" t="n"/>
      <c r="E818" s="78" t="n"/>
      <c r="F818" s="78" t="n"/>
      <c r="G818" s="77" t="n"/>
      <c r="H818" s="77" t="n"/>
      <c r="I818" s="79" t="n"/>
      <c r="J818" s="110" t="n"/>
      <c r="K818" s="111" t="n"/>
      <c r="L818" s="112" t="n"/>
      <c r="M818" s="83" t="n"/>
      <c r="N818" s="84" t="n"/>
    </row>
    <row r="819" ht="15.75" customHeight="1">
      <c r="A819" s="76" t="n"/>
      <c r="B819" s="77" t="n"/>
      <c r="C819" s="78" t="n"/>
      <c r="E819" s="78" t="n"/>
      <c r="F819" s="78" t="n"/>
      <c r="G819" s="77" t="n"/>
      <c r="H819" s="77" t="n"/>
      <c r="I819" s="79" t="n"/>
      <c r="J819" s="110" t="n"/>
      <c r="K819" s="111" t="n"/>
      <c r="L819" s="112" t="n"/>
      <c r="M819" s="83" t="n"/>
      <c r="N819" s="84" t="n"/>
    </row>
    <row r="820" ht="15.75" customHeight="1">
      <c r="A820" s="76" t="n"/>
      <c r="B820" s="77" t="n"/>
      <c r="C820" s="78" t="n"/>
      <c r="E820" s="78" t="n"/>
      <c r="F820" s="78" t="n"/>
      <c r="G820" s="77" t="n"/>
      <c r="H820" s="77" t="n"/>
      <c r="I820" s="79" t="n"/>
      <c r="J820" s="110" t="n"/>
      <c r="K820" s="111" t="n"/>
      <c r="L820" s="112" t="n"/>
      <c r="M820" s="83" t="n"/>
      <c r="N820" s="84" t="n"/>
    </row>
    <row r="821" ht="15.75" customHeight="1">
      <c r="A821" s="76" t="n"/>
      <c r="B821" s="77" t="n"/>
      <c r="C821" s="78" t="n"/>
      <c r="E821" s="78" t="n"/>
      <c r="F821" s="78" t="n"/>
      <c r="G821" s="77" t="n"/>
      <c r="H821" s="77" t="n"/>
      <c r="I821" s="79" t="n"/>
      <c r="J821" s="110" t="n"/>
      <c r="K821" s="111" t="n"/>
      <c r="L821" s="112" t="n"/>
      <c r="M821" s="83" t="n"/>
      <c r="N821" s="84" t="n"/>
    </row>
    <row r="822" ht="15.75" customHeight="1">
      <c r="A822" s="76" t="n"/>
      <c r="B822" s="77" t="n"/>
      <c r="C822" s="78" t="n"/>
      <c r="E822" s="78" t="n"/>
      <c r="F822" s="78" t="n"/>
      <c r="G822" s="77" t="n"/>
      <c r="H822" s="77" t="n"/>
      <c r="I822" s="79" t="n"/>
      <c r="J822" s="110" t="n"/>
      <c r="K822" s="111" t="n"/>
      <c r="L822" s="112" t="n"/>
      <c r="M822" s="83" t="n"/>
      <c r="N822" s="84" t="n"/>
    </row>
    <row r="823" ht="15.75" customHeight="1">
      <c r="A823" s="76" t="n"/>
      <c r="B823" s="77" t="n"/>
      <c r="C823" s="78" t="n"/>
      <c r="E823" s="78" t="n"/>
      <c r="F823" s="78" t="n"/>
      <c r="G823" s="77" t="n"/>
      <c r="H823" s="77" t="n"/>
      <c r="I823" s="79" t="n"/>
      <c r="J823" s="110" t="n"/>
      <c r="K823" s="111" t="n"/>
      <c r="L823" s="112" t="n"/>
      <c r="M823" s="83" t="n"/>
      <c r="N823" s="84" t="n"/>
    </row>
    <row r="824" ht="15.75" customHeight="1">
      <c r="A824" s="76" t="n"/>
      <c r="B824" s="77" t="n"/>
      <c r="C824" s="78" t="n"/>
      <c r="E824" s="78" t="n"/>
      <c r="F824" s="78" t="n"/>
      <c r="G824" s="77" t="n"/>
      <c r="H824" s="77" t="n"/>
      <c r="I824" s="79" t="n"/>
      <c r="J824" s="110" t="n"/>
      <c r="K824" s="111" t="n"/>
      <c r="L824" s="112" t="n"/>
      <c r="M824" s="83" t="n"/>
      <c r="N824" s="84" t="n"/>
    </row>
    <row r="825" ht="15.75" customHeight="1">
      <c r="A825" s="76" t="n"/>
      <c r="B825" s="77" t="n"/>
      <c r="C825" s="78" t="n"/>
      <c r="E825" s="78" t="n"/>
      <c r="F825" s="78" t="n"/>
      <c r="G825" s="77" t="n"/>
      <c r="H825" s="77" t="n"/>
      <c r="I825" s="79" t="n"/>
      <c r="J825" s="110" t="n"/>
      <c r="K825" s="111" t="n"/>
      <c r="L825" s="112" t="n"/>
      <c r="M825" s="83" t="n"/>
      <c r="N825" s="84" t="n"/>
    </row>
    <row r="826" ht="15.75" customHeight="1">
      <c r="A826" s="76" t="n"/>
      <c r="B826" s="77" t="n"/>
      <c r="C826" s="78" t="n"/>
      <c r="E826" s="78" t="n"/>
      <c r="F826" s="78" t="n"/>
      <c r="G826" s="77" t="n"/>
      <c r="H826" s="77" t="n"/>
      <c r="I826" s="79" t="n"/>
      <c r="J826" s="110" t="n"/>
      <c r="K826" s="111" t="n"/>
      <c r="L826" s="112" t="n"/>
      <c r="M826" s="83" t="n"/>
      <c r="N826" s="84" t="n"/>
    </row>
    <row r="827" ht="15.75" customHeight="1">
      <c r="A827" s="76" t="n"/>
      <c r="B827" s="77" t="n"/>
      <c r="C827" s="78" t="n"/>
      <c r="E827" s="78" t="n"/>
      <c r="F827" s="78" t="n"/>
      <c r="G827" s="77" t="n"/>
      <c r="H827" s="77" t="n"/>
      <c r="I827" s="79" t="n"/>
      <c r="J827" s="110" t="n"/>
      <c r="K827" s="111" t="n"/>
      <c r="L827" s="112" t="n"/>
      <c r="M827" s="83" t="n"/>
      <c r="N827" s="84" t="n"/>
    </row>
    <row r="828" ht="15.75" customHeight="1">
      <c r="A828" s="76" t="n"/>
      <c r="B828" s="77" t="n"/>
      <c r="C828" s="78" t="n"/>
      <c r="E828" s="78" t="n"/>
      <c r="F828" s="78" t="n"/>
      <c r="G828" s="77" t="n"/>
      <c r="H828" s="77" t="n"/>
      <c r="I828" s="79" t="n"/>
      <c r="J828" s="110" t="n"/>
      <c r="K828" s="111" t="n"/>
      <c r="L828" s="112" t="n"/>
      <c r="M828" s="83" t="n"/>
      <c r="N828" s="84" t="n"/>
    </row>
    <row r="829" ht="15.75" customHeight="1">
      <c r="A829" s="76" t="n"/>
      <c r="B829" s="77" t="n"/>
      <c r="C829" s="78" t="n"/>
      <c r="E829" s="78" t="n"/>
      <c r="F829" s="78" t="n"/>
      <c r="G829" s="77" t="n"/>
      <c r="H829" s="77" t="n"/>
      <c r="I829" s="79" t="n"/>
      <c r="J829" s="110" t="n"/>
      <c r="K829" s="111" t="n"/>
      <c r="L829" s="112" t="n"/>
      <c r="M829" s="83" t="n"/>
      <c r="N829" s="84" t="n"/>
    </row>
    <row r="830" ht="15.75" customHeight="1">
      <c r="A830" s="76" t="n"/>
      <c r="B830" s="77" t="n"/>
      <c r="C830" s="78" t="n"/>
      <c r="E830" s="78" t="n"/>
      <c r="F830" s="78" t="n"/>
      <c r="G830" s="77" t="n"/>
      <c r="H830" s="77" t="n"/>
      <c r="I830" s="79" t="n"/>
      <c r="J830" s="110" t="n"/>
      <c r="K830" s="111" t="n"/>
      <c r="L830" s="112" t="n"/>
      <c r="M830" s="83" t="n"/>
      <c r="N830" s="84" t="n"/>
    </row>
    <row r="831" ht="15.75" customHeight="1">
      <c r="A831" s="76" t="n"/>
      <c r="B831" s="77" t="n"/>
      <c r="C831" s="78" t="n"/>
      <c r="E831" s="78" t="n"/>
      <c r="F831" s="78" t="n"/>
      <c r="G831" s="77" t="n"/>
      <c r="H831" s="77" t="n"/>
      <c r="I831" s="79" t="n"/>
      <c r="J831" s="110" t="n"/>
      <c r="K831" s="111" t="n"/>
      <c r="L831" s="112" t="n"/>
      <c r="M831" s="83" t="n"/>
      <c r="N831" s="84" t="n"/>
    </row>
    <row r="832" ht="15.75" customHeight="1">
      <c r="A832" s="76" t="n"/>
      <c r="B832" s="77" t="n"/>
      <c r="C832" s="78" t="n"/>
      <c r="E832" s="78" t="n"/>
      <c r="F832" s="78" t="n"/>
      <c r="G832" s="77" t="n"/>
      <c r="H832" s="77" t="n"/>
      <c r="I832" s="79" t="n"/>
      <c r="J832" s="110" t="n"/>
      <c r="K832" s="111" t="n"/>
      <c r="L832" s="112" t="n"/>
      <c r="M832" s="83" t="n"/>
      <c r="N832" s="84" t="n"/>
    </row>
    <row r="833" ht="15.75" customHeight="1">
      <c r="A833" s="76" t="n"/>
      <c r="B833" s="77" t="n"/>
      <c r="C833" s="78" t="n"/>
      <c r="E833" s="78" t="n"/>
      <c r="F833" s="78" t="n"/>
      <c r="G833" s="77" t="n"/>
      <c r="H833" s="77" t="n"/>
      <c r="I833" s="79" t="n"/>
      <c r="J833" s="110" t="n"/>
      <c r="K833" s="111" t="n"/>
      <c r="L833" s="112" t="n"/>
      <c r="M833" s="83" t="n"/>
      <c r="N833" s="84" t="n"/>
    </row>
    <row r="834" ht="15.75" customHeight="1">
      <c r="A834" s="76" t="n"/>
      <c r="B834" s="77" t="n"/>
      <c r="C834" s="78" t="n"/>
      <c r="E834" s="78" t="n"/>
      <c r="F834" s="78" t="n"/>
      <c r="G834" s="77" t="n"/>
      <c r="H834" s="77" t="n"/>
      <c r="I834" s="79" t="n"/>
      <c r="J834" s="110" t="n"/>
      <c r="K834" s="111" t="n"/>
      <c r="L834" s="112" t="n"/>
      <c r="M834" s="83" t="n"/>
      <c r="N834" s="84" t="n"/>
    </row>
    <row r="835" ht="15.75" customHeight="1">
      <c r="A835" s="76" t="n"/>
      <c r="B835" s="77" t="n"/>
      <c r="C835" s="78" t="n"/>
      <c r="E835" s="78" t="n"/>
      <c r="F835" s="78" t="n"/>
      <c r="G835" s="77" t="n"/>
      <c r="H835" s="77" t="n"/>
      <c r="I835" s="79" t="n"/>
      <c r="J835" s="110" t="n"/>
      <c r="K835" s="111" t="n"/>
      <c r="L835" s="112" t="n"/>
      <c r="M835" s="83" t="n"/>
      <c r="N835" s="84" t="n"/>
    </row>
    <row r="836" ht="15.75" customHeight="1">
      <c r="A836" s="76" t="n"/>
      <c r="B836" s="77" t="n"/>
      <c r="C836" s="78" t="n"/>
      <c r="E836" s="78" t="n"/>
      <c r="F836" s="78" t="n"/>
      <c r="G836" s="77" t="n"/>
      <c r="H836" s="77" t="n"/>
      <c r="I836" s="79" t="n"/>
      <c r="J836" s="110" t="n"/>
      <c r="K836" s="111" t="n"/>
      <c r="L836" s="112" t="n"/>
      <c r="M836" s="83" t="n"/>
      <c r="N836" s="84" t="n"/>
    </row>
    <row r="837" ht="15.75" customHeight="1">
      <c r="A837" s="76" t="n"/>
      <c r="B837" s="77" t="n"/>
      <c r="C837" s="78" t="n"/>
      <c r="E837" s="78" t="n"/>
      <c r="F837" s="78" t="n"/>
      <c r="G837" s="77" t="n"/>
      <c r="H837" s="77" t="n"/>
      <c r="I837" s="79" t="n"/>
      <c r="J837" s="110" t="n"/>
      <c r="K837" s="111" t="n"/>
      <c r="L837" s="112" t="n"/>
      <c r="M837" s="83" t="n"/>
      <c r="N837" s="84" t="n"/>
    </row>
    <row r="838" ht="15.75" customHeight="1">
      <c r="A838" s="76" t="n"/>
      <c r="B838" s="77" t="n"/>
      <c r="C838" s="78" t="n"/>
      <c r="E838" s="78" t="n"/>
      <c r="F838" s="78" t="n"/>
      <c r="G838" s="77" t="n"/>
      <c r="H838" s="77" t="n"/>
      <c r="I838" s="79" t="n"/>
      <c r="J838" s="110" t="n"/>
      <c r="K838" s="111" t="n"/>
      <c r="L838" s="112" t="n"/>
      <c r="M838" s="83" t="n"/>
      <c r="N838" s="84" t="n"/>
    </row>
    <row r="839" ht="15.75" customHeight="1">
      <c r="A839" s="76" t="n"/>
      <c r="B839" s="77" t="n"/>
      <c r="C839" s="78" t="n"/>
      <c r="E839" s="78" t="n"/>
      <c r="F839" s="78" t="n"/>
      <c r="G839" s="77" t="n"/>
      <c r="H839" s="77" t="n"/>
      <c r="I839" s="79" t="n"/>
      <c r="J839" s="110" t="n"/>
      <c r="K839" s="111" t="n"/>
      <c r="L839" s="112" t="n"/>
      <c r="M839" s="83" t="n"/>
      <c r="N839" s="84" t="n"/>
    </row>
    <row r="840" ht="15.75" customHeight="1">
      <c r="A840" s="76" t="n"/>
      <c r="B840" s="77" t="n"/>
      <c r="C840" s="78" t="n"/>
      <c r="E840" s="78" t="n"/>
      <c r="F840" s="78" t="n"/>
      <c r="G840" s="77" t="n"/>
      <c r="H840" s="77" t="n"/>
      <c r="I840" s="79" t="n"/>
      <c r="J840" s="110" t="n"/>
      <c r="K840" s="111" t="n"/>
      <c r="L840" s="112" t="n"/>
      <c r="M840" s="83" t="n"/>
      <c r="N840" s="84" t="n"/>
    </row>
    <row r="841" ht="15.75" customHeight="1">
      <c r="A841" s="76" t="n"/>
      <c r="B841" s="77" t="n"/>
      <c r="C841" s="78" t="n"/>
      <c r="E841" s="78" t="n"/>
      <c r="F841" s="78" t="n"/>
      <c r="G841" s="77" t="n"/>
      <c r="H841" s="77" t="n"/>
      <c r="I841" s="79" t="n"/>
      <c r="J841" s="110" t="n"/>
      <c r="K841" s="111" t="n"/>
      <c r="L841" s="112" t="n"/>
      <c r="M841" s="83" t="n"/>
      <c r="N841" s="84" t="n"/>
    </row>
    <row r="842" ht="15.75" customHeight="1">
      <c r="A842" s="76" t="n"/>
      <c r="B842" s="77" t="n"/>
      <c r="C842" s="78" t="n"/>
      <c r="E842" s="78" t="n"/>
      <c r="F842" s="78" t="n"/>
      <c r="G842" s="77" t="n"/>
      <c r="H842" s="77" t="n"/>
      <c r="I842" s="79" t="n"/>
      <c r="J842" s="110" t="n"/>
      <c r="K842" s="111" t="n"/>
      <c r="L842" s="112" t="n"/>
      <c r="M842" s="83" t="n"/>
      <c r="N842" s="84" t="n"/>
    </row>
    <row r="843" ht="15.75" customHeight="1">
      <c r="A843" s="76" t="n"/>
      <c r="B843" s="77" t="n"/>
      <c r="C843" s="78" t="n"/>
      <c r="E843" s="78" t="n"/>
      <c r="F843" s="78" t="n"/>
      <c r="G843" s="77" t="n"/>
      <c r="H843" s="77" t="n"/>
      <c r="I843" s="79" t="n"/>
      <c r="J843" s="110" t="n"/>
      <c r="K843" s="111" t="n"/>
      <c r="L843" s="112" t="n"/>
      <c r="M843" s="83" t="n"/>
      <c r="N843" s="84" t="n"/>
    </row>
    <row r="844" ht="15.75" customHeight="1">
      <c r="A844" s="76" t="n"/>
      <c r="B844" s="77" t="n"/>
      <c r="C844" s="78" t="n"/>
      <c r="E844" s="78" t="n"/>
      <c r="F844" s="78" t="n"/>
      <c r="G844" s="77" t="n"/>
      <c r="H844" s="77" t="n"/>
      <c r="I844" s="79" t="n"/>
      <c r="J844" s="110" t="n"/>
      <c r="K844" s="111" t="n"/>
      <c r="L844" s="112" t="n"/>
      <c r="M844" s="83" t="n"/>
      <c r="N844" s="84" t="n"/>
    </row>
    <row r="845" ht="15.75" customHeight="1">
      <c r="A845" s="76" t="n"/>
      <c r="B845" s="77" t="n"/>
      <c r="C845" s="78" t="n"/>
      <c r="E845" s="78" t="n"/>
      <c r="F845" s="78" t="n"/>
      <c r="G845" s="77" t="n"/>
      <c r="H845" s="77" t="n"/>
      <c r="I845" s="79" t="n"/>
      <c r="J845" s="110" t="n"/>
      <c r="K845" s="111" t="n"/>
      <c r="L845" s="112" t="n"/>
      <c r="M845" s="83" t="n"/>
      <c r="N845" s="84" t="n"/>
    </row>
    <row r="846" ht="15.75" customHeight="1">
      <c r="A846" s="76" t="n"/>
      <c r="B846" s="77" t="n"/>
      <c r="C846" s="78" t="n"/>
      <c r="E846" s="78" t="n"/>
      <c r="F846" s="78" t="n"/>
      <c r="G846" s="77" t="n"/>
      <c r="H846" s="77" t="n"/>
      <c r="I846" s="79" t="n"/>
      <c r="J846" s="110" t="n"/>
      <c r="K846" s="111" t="n"/>
      <c r="L846" s="112" t="n"/>
      <c r="M846" s="83" t="n"/>
      <c r="N846" s="84" t="n"/>
    </row>
    <row r="847" ht="15.75" customHeight="1">
      <c r="A847" s="76" t="n"/>
      <c r="B847" s="77" t="n"/>
      <c r="C847" s="78" t="n"/>
      <c r="E847" s="78" t="n"/>
      <c r="F847" s="78" t="n"/>
      <c r="G847" s="77" t="n"/>
      <c r="H847" s="77" t="n"/>
      <c r="I847" s="79" t="n"/>
      <c r="J847" s="110" t="n"/>
      <c r="K847" s="111" t="n"/>
      <c r="L847" s="112" t="n"/>
      <c r="M847" s="83" t="n"/>
      <c r="N847" s="84" t="n"/>
    </row>
    <row r="848" ht="15.75" customHeight="1">
      <c r="A848" s="76" t="n"/>
      <c r="B848" s="77" t="n"/>
      <c r="C848" s="78" t="n"/>
      <c r="E848" s="78" t="n"/>
      <c r="F848" s="78" t="n"/>
      <c r="G848" s="77" t="n"/>
      <c r="H848" s="77" t="n"/>
      <c r="I848" s="79" t="n"/>
      <c r="J848" s="110" t="n"/>
      <c r="K848" s="111" t="n"/>
      <c r="L848" s="112" t="n"/>
      <c r="M848" s="83" t="n"/>
      <c r="N848" s="84" t="n"/>
    </row>
    <row r="849" ht="15.75" customHeight="1">
      <c r="A849" s="76" t="n"/>
      <c r="B849" s="77" t="n"/>
      <c r="C849" s="78" t="n"/>
      <c r="E849" s="78" t="n"/>
      <c r="F849" s="78" t="n"/>
      <c r="G849" s="77" t="n"/>
      <c r="H849" s="77" t="n"/>
      <c r="I849" s="79" t="n"/>
      <c r="J849" s="110" t="n"/>
      <c r="K849" s="111" t="n"/>
      <c r="L849" s="112" t="n"/>
      <c r="M849" s="83" t="n"/>
      <c r="N849" s="84" t="n"/>
    </row>
    <row r="850" ht="15.75" customHeight="1">
      <c r="A850" s="76" t="n"/>
      <c r="B850" s="77" t="n"/>
      <c r="C850" s="78" t="n"/>
      <c r="E850" s="78" t="n"/>
      <c r="F850" s="78" t="n"/>
      <c r="G850" s="77" t="n"/>
      <c r="H850" s="77" t="n"/>
      <c r="I850" s="79" t="n"/>
      <c r="J850" s="110" t="n"/>
      <c r="K850" s="111" t="n"/>
      <c r="L850" s="112" t="n"/>
      <c r="M850" s="83" t="n"/>
      <c r="N850" s="84" t="n"/>
    </row>
    <row r="851" ht="15.75" customHeight="1">
      <c r="A851" s="76" t="n"/>
      <c r="B851" s="77" t="n"/>
      <c r="C851" s="78" t="n"/>
      <c r="E851" s="78" t="n"/>
      <c r="F851" s="78" t="n"/>
      <c r="G851" s="77" t="n"/>
      <c r="H851" s="77" t="n"/>
      <c r="I851" s="79" t="n"/>
      <c r="J851" s="110" t="n"/>
      <c r="K851" s="111" t="n"/>
      <c r="L851" s="112" t="n"/>
      <c r="M851" s="83" t="n"/>
      <c r="N851" s="84" t="n"/>
    </row>
    <row r="852" ht="15.75" customHeight="1">
      <c r="A852" s="76" t="n"/>
      <c r="B852" s="77" t="n"/>
      <c r="C852" s="78" t="n"/>
      <c r="E852" s="78" t="n"/>
      <c r="F852" s="78" t="n"/>
      <c r="G852" s="77" t="n"/>
      <c r="H852" s="77" t="n"/>
      <c r="I852" s="79" t="n"/>
      <c r="J852" s="110" t="n"/>
      <c r="K852" s="111" t="n"/>
      <c r="L852" s="112" t="n"/>
      <c r="M852" s="83" t="n"/>
      <c r="N852" s="84" t="n"/>
    </row>
    <row r="853" ht="15.75" customHeight="1">
      <c r="A853" s="76" t="n"/>
      <c r="B853" s="77" t="n"/>
      <c r="C853" s="78" t="n"/>
      <c r="E853" s="78" t="n"/>
      <c r="F853" s="78" t="n"/>
      <c r="G853" s="77" t="n"/>
      <c r="H853" s="77" t="n"/>
      <c r="I853" s="79" t="n"/>
      <c r="J853" s="110" t="n"/>
      <c r="K853" s="111" t="n"/>
      <c r="L853" s="112" t="n"/>
      <c r="M853" s="83" t="n"/>
      <c r="N853" s="84" t="n"/>
    </row>
    <row r="854" ht="15.75" customHeight="1">
      <c r="A854" s="76" t="n"/>
      <c r="B854" s="77" t="n"/>
      <c r="C854" s="78" t="n"/>
      <c r="E854" s="78" t="n"/>
      <c r="F854" s="78" t="n"/>
      <c r="G854" s="77" t="n"/>
      <c r="H854" s="77" t="n"/>
      <c r="I854" s="79" t="n"/>
      <c r="J854" s="110" t="n"/>
      <c r="K854" s="111" t="n"/>
      <c r="L854" s="112" t="n"/>
      <c r="M854" s="83" t="n"/>
      <c r="N854" s="84" t="n"/>
    </row>
    <row r="855" ht="15.75" customHeight="1">
      <c r="A855" s="76" t="n"/>
      <c r="B855" s="77" t="n"/>
      <c r="C855" s="78" t="n"/>
      <c r="E855" s="78" t="n"/>
      <c r="F855" s="78" t="n"/>
      <c r="G855" s="77" t="n"/>
      <c r="H855" s="77" t="n"/>
      <c r="I855" s="79" t="n"/>
      <c r="J855" s="110" t="n"/>
      <c r="K855" s="111" t="n"/>
      <c r="L855" s="112" t="n"/>
      <c r="M855" s="83" t="n"/>
      <c r="N855" s="84" t="n"/>
    </row>
    <row r="856" ht="15.75" customHeight="1">
      <c r="A856" s="76" t="n"/>
      <c r="B856" s="77" t="n"/>
      <c r="C856" s="78" t="n"/>
      <c r="E856" s="78" t="n"/>
      <c r="F856" s="78" t="n"/>
      <c r="G856" s="77" t="n"/>
      <c r="H856" s="77" t="n"/>
      <c r="I856" s="79" t="n"/>
      <c r="J856" s="110" t="n"/>
      <c r="K856" s="111" t="n"/>
      <c r="L856" s="112" t="n"/>
      <c r="M856" s="83" t="n"/>
      <c r="N856" s="84" t="n"/>
    </row>
    <row r="857" ht="15.75" customHeight="1">
      <c r="A857" s="76" t="n"/>
      <c r="B857" s="77" t="n"/>
      <c r="C857" s="78" t="n"/>
      <c r="E857" s="78" t="n"/>
      <c r="F857" s="78" t="n"/>
      <c r="G857" s="77" t="n"/>
      <c r="H857" s="77" t="n"/>
      <c r="I857" s="79" t="n"/>
      <c r="J857" s="110" t="n"/>
      <c r="K857" s="111" t="n"/>
      <c r="L857" s="112" t="n"/>
      <c r="M857" s="83" t="n"/>
      <c r="N857" s="84" t="n"/>
    </row>
    <row r="858" ht="15.75" customHeight="1">
      <c r="A858" s="76" t="n"/>
      <c r="B858" s="77" t="n"/>
      <c r="C858" s="78" t="n"/>
      <c r="E858" s="78" t="n"/>
      <c r="F858" s="78" t="n"/>
      <c r="G858" s="77" t="n"/>
      <c r="H858" s="77" t="n"/>
      <c r="I858" s="79" t="n"/>
      <c r="J858" s="110" t="n"/>
      <c r="K858" s="111" t="n"/>
      <c r="L858" s="112" t="n"/>
      <c r="M858" s="83" t="n"/>
      <c r="N858" s="84" t="n"/>
    </row>
    <row r="859" ht="15.75" customHeight="1">
      <c r="A859" s="76" t="n"/>
      <c r="B859" s="77" t="n"/>
      <c r="C859" s="78" t="n"/>
      <c r="E859" s="78" t="n"/>
      <c r="F859" s="78" t="n"/>
      <c r="G859" s="77" t="n"/>
      <c r="H859" s="77" t="n"/>
      <c r="I859" s="79" t="n"/>
      <c r="J859" s="110" t="n"/>
      <c r="K859" s="111" t="n"/>
      <c r="L859" s="112" t="n"/>
      <c r="M859" s="83" t="n"/>
      <c r="N859" s="84" t="n"/>
    </row>
    <row r="860" ht="15.75" customHeight="1">
      <c r="A860" s="76" t="n"/>
      <c r="B860" s="77" t="n"/>
      <c r="C860" s="78" t="n"/>
      <c r="E860" s="78" t="n"/>
      <c r="F860" s="78" t="n"/>
      <c r="G860" s="77" t="n"/>
      <c r="H860" s="77" t="n"/>
      <c r="I860" s="79" t="n"/>
      <c r="J860" s="110" t="n"/>
      <c r="K860" s="111" t="n"/>
      <c r="L860" s="112" t="n"/>
      <c r="M860" s="83" t="n"/>
      <c r="N860" s="84" t="n"/>
    </row>
    <row r="861" ht="15.75" customHeight="1">
      <c r="A861" s="76" t="n"/>
      <c r="B861" s="77" t="n"/>
      <c r="C861" s="78" t="n"/>
      <c r="E861" s="78" t="n"/>
      <c r="F861" s="78" t="n"/>
      <c r="G861" s="77" t="n"/>
      <c r="H861" s="77" t="n"/>
      <c r="I861" s="79" t="n"/>
      <c r="J861" s="110" t="n"/>
      <c r="K861" s="111" t="n"/>
      <c r="L861" s="112" t="n"/>
      <c r="M861" s="83" t="n"/>
      <c r="N861" s="84" t="n"/>
    </row>
    <row r="862" ht="15.75" customHeight="1">
      <c r="A862" s="76" t="n"/>
      <c r="B862" s="77" t="n"/>
      <c r="C862" s="78" t="n"/>
      <c r="E862" s="78" t="n"/>
      <c r="F862" s="78" t="n"/>
      <c r="G862" s="77" t="n"/>
      <c r="H862" s="77" t="n"/>
      <c r="I862" s="79" t="n"/>
      <c r="J862" s="110" t="n"/>
      <c r="K862" s="111" t="n"/>
      <c r="L862" s="112" t="n"/>
      <c r="M862" s="83" t="n"/>
      <c r="N862" s="84" t="n"/>
    </row>
    <row r="863" ht="15.75" customHeight="1">
      <c r="A863" s="76" t="n"/>
      <c r="B863" s="77" t="n"/>
      <c r="C863" s="78" t="n"/>
      <c r="E863" s="78" t="n"/>
      <c r="F863" s="78" t="n"/>
      <c r="G863" s="77" t="n"/>
      <c r="H863" s="77" t="n"/>
      <c r="I863" s="79" t="n"/>
      <c r="J863" s="110" t="n"/>
      <c r="K863" s="111" t="n"/>
      <c r="L863" s="112" t="n"/>
      <c r="M863" s="83" t="n"/>
      <c r="N863" s="84" t="n"/>
    </row>
    <row r="864" ht="15.75" customHeight="1">
      <c r="A864" s="76" t="n"/>
      <c r="B864" s="77" t="n"/>
      <c r="C864" s="78" t="n"/>
      <c r="E864" s="78" t="n"/>
      <c r="F864" s="78" t="n"/>
      <c r="G864" s="77" t="n"/>
      <c r="H864" s="77" t="n"/>
      <c r="I864" s="79" t="n"/>
      <c r="J864" s="110" t="n"/>
      <c r="K864" s="111" t="n"/>
      <c r="L864" s="112" t="n"/>
      <c r="M864" s="83" t="n"/>
      <c r="N864" s="84" t="n"/>
    </row>
    <row r="865" ht="15.75" customHeight="1">
      <c r="A865" s="76" t="n"/>
      <c r="B865" s="77" t="n"/>
      <c r="C865" s="78" t="n"/>
      <c r="E865" s="78" t="n"/>
      <c r="F865" s="78" t="n"/>
      <c r="G865" s="77" t="n"/>
      <c r="H865" s="77" t="n"/>
      <c r="I865" s="79" t="n"/>
      <c r="J865" s="110" t="n"/>
      <c r="K865" s="111" t="n"/>
      <c r="L865" s="112" t="n"/>
      <c r="M865" s="83" t="n"/>
      <c r="N865" s="84" t="n"/>
    </row>
    <row r="866" ht="15.75" customHeight="1">
      <c r="A866" s="76" t="n"/>
      <c r="B866" s="77" t="n"/>
      <c r="C866" s="78" t="n"/>
      <c r="E866" s="78" t="n"/>
      <c r="F866" s="78" t="n"/>
      <c r="G866" s="77" t="n"/>
      <c r="H866" s="77" t="n"/>
      <c r="I866" s="79" t="n"/>
      <c r="J866" s="110" t="n"/>
      <c r="K866" s="111" t="n"/>
      <c r="L866" s="112" t="n"/>
      <c r="M866" s="83" t="n"/>
      <c r="N866" s="84" t="n"/>
    </row>
    <row r="867" ht="15.75" customHeight="1">
      <c r="A867" s="76" t="n"/>
      <c r="B867" s="77" t="n"/>
      <c r="C867" s="78" t="n"/>
      <c r="E867" s="78" t="n"/>
      <c r="F867" s="78" t="n"/>
      <c r="G867" s="77" t="n"/>
      <c r="H867" s="77" t="n"/>
      <c r="I867" s="79" t="n"/>
      <c r="J867" s="110" t="n"/>
      <c r="K867" s="111" t="n"/>
      <c r="L867" s="112" t="n"/>
      <c r="M867" s="83" t="n"/>
      <c r="N867" s="84" t="n"/>
    </row>
    <row r="868" ht="15.75" customHeight="1">
      <c r="A868" s="76" t="n"/>
      <c r="B868" s="77" t="n"/>
      <c r="C868" s="78" t="n"/>
      <c r="E868" s="78" t="n"/>
      <c r="F868" s="78" t="n"/>
      <c r="G868" s="77" t="n"/>
      <c r="H868" s="77" t="n"/>
      <c r="I868" s="79" t="n"/>
      <c r="J868" s="110" t="n"/>
      <c r="K868" s="111" t="n"/>
      <c r="L868" s="112" t="n"/>
      <c r="M868" s="83" t="n"/>
      <c r="N868" s="84" t="n"/>
    </row>
    <row r="869" ht="15.75" customHeight="1">
      <c r="A869" s="76" t="n"/>
      <c r="B869" s="77" t="n"/>
      <c r="C869" s="78" t="n"/>
      <c r="E869" s="78" t="n"/>
      <c r="F869" s="78" t="n"/>
      <c r="G869" s="77" t="n"/>
      <c r="H869" s="77" t="n"/>
      <c r="I869" s="79" t="n"/>
      <c r="J869" s="110" t="n"/>
      <c r="K869" s="111" t="n"/>
      <c r="L869" s="112" t="n"/>
      <c r="M869" s="83" t="n"/>
      <c r="N869" s="84" t="n"/>
    </row>
    <row r="870" ht="15.75" customHeight="1">
      <c r="A870" s="76" t="n"/>
      <c r="B870" s="77" t="n"/>
      <c r="C870" s="78" t="n"/>
      <c r="E870" s="78" t="n"/>
      <c r="F870" s="78" t="n"/>
      <c r="G870" s="77" t="n"/>
      <c r="H870" s="77" t="n"/>
      <c r="I870" s="79" t="n"/>
      <c r="J870" s="110" t="n"/>
      <c r="K870" s="111" t="n"/>
      <c r="L870" s="112" t="n"/>
      <c r="M870" s="83" t="n"/>
      <c r="N870" s="84" t="n"/>
    </row>
    <row r="871" ht="15.75" customHeight="1">
      <c r="A871" s="76" t="n"/>
      <c r="B871" s="77" t="n"/>
      <c r="C871" s="78" t="n"/>
      <c r="E871" s="78" t="n"/>
      <c r="F871" s="78" t="n"/>
      <c r="G871" s="77" t="n"/>
      <c r="H871" s="77" t="n"/>
      <c r="I871" s="79" t="n"/>
      <c r="J871" s="110" t="n"/>
      <c r="K871" s="111" t="n"/>
      <c r="L871" s="112" t="n"/>
      <c r="M871" s="83" t="n"/>
      <c r="N871" s="84" t="n"/>
    </row>
    <row r="872" ht="15.75" customHeight="1">
      <c r="A872" s="76" t="n"/>
      <c r="B872" s="77" t="n"/>
      <c r="C872" s="78" t="n"/>
      <c r="E872" s="78" t="n"/>
      <c r="F872" s="78" t="n"/>
      <c r="G872" s="77" t="n"/>
      <c r="H872" s="77" t="n"/>
      <c r="I872" s="79" t="n"/>
      <c r="J872" s="110" t="n"/>
      <c r="K872" s="111" t="n"/>
      <c r="L872" s="112" t="n"/>
      <c r="M872" s="83" t="n"/>
      <c r="N872" s="84" t="n"/>
    </row>
    <row r="873" ht="15.75" customHeight="1">
      <c r="A873" s="76" t="n"/>
      <c r="B873" s="77" t="n"/>
      <c r="C873" s="78" t="n"/>
      <c r="E873" s="78" t="n"/>
      <c r="F873" s="78" t="n"/>
      <c r="G873" s="77" t="n"/>
      <c r="H873" s="77" t="n"/>
      <c r="I873" s="79" t="n"/>
      <c r="J873" s="110" t="n"/>
      <c r="K873" s="111" t="n"/>
      <c r="L873" s="112" t="n"/>
      <c r="M873" s="83" t="n"/>
      <c r="N873" s="84" t="n"/>
    </row>
    <row r="874" ht="15.75" customHeight="1">
      <c r="A874" s="76" t="n"/>
      <c r="B874" s="77" t="n"/>
      <c r="C874" s="78" t="n"/>
      <c r="E874" s="78" t="n"/>
      <c r="F874" s="78" t="n"/>
      <c r="G874" s="77" t="n"/>
      <c r="H874" s="77" t="n"/>
      <c r="I874" s="79" t="n"/>
      <c r="J874" s="110" t="n"/>
      <c r="K874" s="111" t="n"/>
      <c r="L874" s="112" t="n"/>
      <c r="M874" s="83" t="n"/>
      <c r="N874" s="84" t="n"/>
    </row>
    <row r="875" ht="15.75" customHeight="1">
      <c r="A875" s="76" t="n"/>
      <c r="B875" s="77" t="n"/>
      <c r="C875" s="78" t="n"/>
      <c r="E875" s="78" t="n"/>
      <c r="F875" s="78" t="n"/>
      <c r="G875" s="77" t="n"/>
      <c r="H875" s="77" t="n"/>
      <c r="I875" s="79" t="n"/>
      <c r="J875" s="110" t="n"/>
      <c r="K875" s="111" t="n"/>
      <c r="L875" s="112" t="n"/>
      <c r="M875" s="83" t="n"/>
      <c r="N875" s="84" t="n"/>
    </row>
    <row r="876" ht="15.75" customHeight="1">
      <c r="A876" s="76" t="n"/>
      <c r="B876" s="77" t="n"/>
      <c r="C876" s="78" t="n"/>
      <c r="E876" s="78" t="n"/>
      <c r="F876" s="78" t="n"/>
      <c r="G876" s="77" t="n"/>
      <c r="H876" s="77" t="n"/>
      <c r="I876" s="79" t="n"/>
      <c r="J876" s="110" t="n"/>
      <c r="K876" s="111" t="n"/>
      <c r="L876" s="112" t="n"/>
      <c r="M876" s="83" t="n"/>
      <c r="N876" s="84" t="n"/>
    </row>
    <row r="877" ht="15.75" customHeight="1">
      <c r="A877" s="76" t="n"/>
      <c r="B877" s="77" t="n"/>
      <c r="C877" s="78" t="n"/>
      <c r="E877" s="78" t="n"/>
      <c r="F877" s="78" t="n"/>
      <c r="G877" s="77" t="n"/>
      <c r="H877" s="77" t="n"/>
      <c r="I877" s="79" t="n"/>
      <c r="J877" s="110" t="n"/>
      <c r="K877" s="111" t="n"/>
      <c r="L877" s="112" t="n"/>
      <c r="M877" s="83" t="n"/>
      <c r="N877" s="84" t="n"/>
    </row>
    <row r="878" ht="15.75" customHeight="1">
      <c r="A878" s="76" t="n"/>
      <c r="B878" s="77" t="n"/>
      <c r="C878" s="78" t="n"/>
      <c r="E878" s="78" t="n"/>
      <c r="F878" s="78" t="n"/>
      <c r="G878" s="77" t="n"/>
      <c r="H878" s="77" t="n"/>
      <c r="I878" s="79" t="n"/>
      <c r="J878" s="110" t="n"/>
      <c r="K878" s="111" t="n"/>
      <c r="L878" s="112" t="n"/>
      <c r="M878" s="83" t="n"/>
      <c r="N878" s="84" t="n"/>
    </row>
    <row r="879" ht="15.75" customHeight="1">
      <c r="A879" s="76" t="n"/>
      <c r="B879" s="77" t="n"/>
      <c r="C879" s="78" t="n"/>
      <c r="E879" s="78" t="n"/>
      <c r="F879" s="78" t="n"/>
      <c r="G879" s="77" t="n"/>
      <c r="H879" s="77" t="n"/>
      <c r="I879" s="79" t="n"/>
      <c r="J879" s="110" t="n"/>
      <c r="K879" s="111" t="n"/>
      <c r="L879" s="112" t="n"/>
      <c r="M879" s="83" t="n"/>
      <c r="N879" s="84" t="n"/>
    </row>
    <row r="880" ht="15.75" customHeight="1">
      <c r="A880" s="76" t="n"/>
      <c r="B880" s="77" t="n"/>
      <c r="C880" s="78" t="n"/>
      <c r="E880" s="78" t="n"/>
      <c r="F880" s="78" t="n"/>
      <c r="G880" s="77" t="n"/>
      <c r="H880" s="77" t="n"/>
      <c r="I880" s="79" t="n"/>
      <c r="J880" s="110" t="n"/>
      <c r="K880" s="111" t="n"/>
      <c r="L880" s="112" t="n"/>
      <c r="M880" s="83" t="n"/>
      <c r="N880" s="84" t="n"/>
    </row>
    <row r="881" ht="15.75" customHeight="1">
      <c r="A881" s="76" t="n"/>
      <c r="B881" s="77" t="n"/>
      <c r="C881" s="78" t="n"/>
      <c r="E881" s="78" t="n"/>
      <c r="F881" s="78" t="n"/>
      <c r="G881" s="77" t="n"/>
      <c r="H881" s="77" t="n"/>
      <c r="I881" s="79" t="n"/>
      <c r="J881" s="110" t="n"/>
      <c r="K881" s="111" t="n"/>
      <c r="L881" s="112" t="n"/>
      <c r="M881" s="83" t="n"/>
      <c r="N881" s="84" t="n"/>
    </row>
    <row r="882" ht="15.75" customHeight="1">
      <c r="A882" s="76" t="n"/>
      <c r="B882" s="77" t="n"/>
      <c r="C882" s="78" t="n"/>
      <c r="E882" s="78" t="n"/>
      <c r="F882" s="78" t="n"/>
      <c r="G882" s="77" t="n"/>
      <c r="H882" s="77" t="n"/>
      <c r="I882" s="79" t="n"/>
      <c r="J882" s="110" t="n"/>
      <c r="K882" s="111" t="n"/>
      <c r="L882" s="112" t="n"/>
      <c r="M882" s="83" t="n"/>
      <c r="N882" s="84" t="n"/>
    </row>
    <row r="883" ht="15.75" customHeight="1">
      <c r="A883" s="76" t="n"/>
      <c r="B883" s="77" t="n"/>
      <c r="C883" s="78" t="n"/>
      <c r="E883" s="78" t="n"/>
      <c r="F883" s="78" t="n"/>
      <c r="G883" s="77" t="n"/>
      <c r="H883" s="77" t="n"/>
      <c r="I883" s="79" t="n"/>
      <c r="J883" s="110" t="n"/>
      <c r="K883" s="111" t="n"/>
      <c r="L883" s="112" t="n"/>
      <c r="M883" s="83" t="n"/>
      <c r="N883" s="84" t="n"/>
    </row>
    <row r="884" ht="15.75" customHeight="1">
      <c r="A884" s="76" t="n"/>
      <c r="B884" s="77" t="n"/>
      <c r="C884" s="78" t="n"/>
      <c r="E884" s="78" t="n"/>
      <c r="F884" s="78" t="n"/>
      <c r="G884" s="77" t="n"/>
      <c r="H884" s="77" t="n"/>
      <c r="I884" s="79" t="n"/>
      <c r="J884" s="110" t="n"/>
      <c r="K884" s="111" t="n"/>
      <c r="L884" s="112" t="n"/>
      <c r="M884" s="83" t="n"/>
      <c r="N884" s="84" t="n"/>
    </row>
    <row r="885" ht="15.75" customHeight="1">
      <c r="A885" s="76" t="n"/>
      <c r="B885" s="77" t="n"/>
      <c r="C885" s="78" t="n"/>
      <c r="E885" s="78" t="n"/>
      <c r="F885" s="78" t="n"/>
      <c r="G885" s="77" t="n"/>
      <c r="H885" s="77" t="n"/>
      <c r="I885" s="79" t="n"/>
      <c r="J885" s="110" t="n"/>
      <c r="K885" s="111" t="n"/>
      <c r="L885" s="112" t="n"/>
      <c r="M885" s="83" t="n"/>
      <c r="N885" s="84" t="n"/>
    </row>
    <row r="886" ht="15.75" customHeight="1">
      <c r="A886" s="76" t="n"/>
      <c r="B886" s="77" t="n"/>
      <c r="C886" s="78" t="n"/>
      <c r="E886" s="78" t="n"/>
      <c r="F886" s="78" t="n"/>
      <c r="G886" s="77" t="n"/>
      <c r="H886" s="77" t="n"/>
      <c r="I886" s="79" t="n"/>
      <c r="J886" s="110" t="n"/>
      <c r="K886" s="111" t="n"/>
      <c r="L886" s="112" t="n"/>
      <c r="M886" s="83" t="n"/>
      <c r="N886" s="84" t="n"/>
    </row>
    <row r="887" ht="15.75" customHeight="1">
      <c r="A887" s="76" t="n"/>
      <c r="B887" s="77" t="n"/>
      <c r="C887" s="78" t="n"/>
      <c r="E887" s="78" t="n"/>
      <c r="F887" s="78" t="n"/>
      <c r="G887" s="77" t="n"/>
      <c r="H887" s="77" t="n"/>
      <c r="I887" s="79" t="n"/>
      <c r="J887" s="110" t="n"/>
      <c r="K887" s="111" t="n"/>
      <c r="L887" s="112" t="n"/>
      <c r="M887" s="83" t="n"/>
      <c r="N887" s="84" t="n"/>
    </row>
    <row r="888" ht="15.75" customHeight="1">
      <c r="A888" s="76" t="n"/>
      <c r="B888" s="77" t="n"/>
      <c r="C888" s="78" t="n"/>
      <c r="E888" s="78" t="n"/>
      <c r="F888" s="78" t="n"/>
      <c r="G888" s="77" t="n"/>
      <c r="H888" s="77" t="n"/>
      <c r="I888" s="79" t="n"/>
      <c r="J888" s="110" t="n"/>
      <c r="K888" s="111" t="n"/>
      <c r="L888" s="112" t="n"/>
      <c r="M888" s="83" t="n"/>
      <c r="N888" s="84" t="n"/>
    </row>
    <row r="889" ht="15.75" customHeight="1">
      <c r="A889" s="76" t="n"/>
      <c r="B889" s="77" t="n"/>
      <c r="C889" s="78" t="n"/>
      <c r="E889" s="78" t="n"/>
      <c r="F889" s="78" t="n"/>
      <c r="G889" s="77" t="n"/>
      <c r="H889" s="77" t="n"/>
      <c r="I889" s="79" t="n"/>
      <c r="J889" s="110" t="n"/>
      <c r="K889" s="111" t="n"/>
      <c r="L889" s="112" t="n"/>
      <c r="M889" s="83" t="n"/>
      <c r="N889" s="84" t="n"/>
    </row>
    <row r="890" ht="15.75" customHeight="1">
      <c r="A890" s="76" t="n"/>
      <c r="B890" s="77" t="n"/>
      <c r="C890" s="78" t="n"/>
      <c r="E890" s="78" t="n"/>
      <c r="F890" s="78" t="n"/>
      <c r="G890" s="77" t="n"/>
      <c r="H890" s="77" t="n"/>
      <c r="I890" s="79" t="n"/>
      <c r="J890" s="110" t="n"/>
      <c r="K890" s="111" t="n"/>
      <c r="L890" s="112" t="n"/>
      <c r="M890" s="83" t="n"/>
      <c r="N890" s="84" t="n"/>
    </row>
    <row r="891" ht="15.75" customHeight="1">
      <c r="A891" s="76" t="n"/>
      <c r="B891" s="77" t="n"/>
      <c r="C891" s="78" t="n"/>
      <c r="E891" s="78" t="n"/>
      <c r="F891" s="78" t="n"/>
      <c r="G891" s="77" t="n"/>
      <c r="H891" s="77" t="n"/>
      <c r="I891" s="79" t="n"/>
      <c r="J891" s="110" t="n"/>
      <c r="K891" s="111" t="n"/>
      <c r="L891" s="112" t="n"/>
      <c r="M891" s="83" t="n"/>
      <c r="N891" s="84" t="n"/>
    </row>
    <row r="892" ht="15.75" customHeight="1">
      <c r="A892" s="76" t="n"/>
      <c r="B892" s="77" t="n"/>
      <c r="C892" s="78" t="n"/>
      <c r="E892" s="78" t="n"/>
      <c r="F892" s="78" t="n"/>
      <c r="G892" s="77" t="n"/>
      <c r="H892" s="77" t="n"/>
      <c r="I892" s="79" t="n"/>
      <c r="J892" s="110" t="n"/>
      <c r="K892" s="111" t="n"/>
      <c r="L892" s="112" t="n"/>
      <c r="M892" s="83" t="n"/>
      <c r="N892" s="84" t="n"/>
    </row>
    <row r="893" ht="15.75" customHeight="1">
      <c r="A893" s="76" t="n"/>
      <c r="B893" s="77" t="n"/>
      <c r="C893" s="78" t="n"/>
      <c r="E893" s="78" t="n"/>
      <c r="F893" s="78" t="n"/>
      <c r="G893" s="77" t="n"/>
      <c r="H893" s="77" t="n"/>
      <c r="I893" s="79" t="n"/>
      <c r="J893" s="110" t="n"/>
      <c r="K893" s="111" t="n"/>
      <c r="L893" s="112" t="n"/>
      <c r="M893" s="83" t="n"/>
      <c r="N893" s="84" t="n"/>
    </row>
    <row r="894" ht="15.75" customHeight="1">
      <c r="A894" s="76" t="n"/>
      <c r="B894" s="77" t="n"/>
      <c r="C894" s="78" t="n"/>
      <c r="E894" s="78" t="n"/>
      <c r="F894" s="78" t="n"/>
      <c r="G894" s="77" t="n"/>
      <c r="H894" s="77" t="n"/>
      <c r="I894" s="79" t="n"/>
      <c r="J894" s="110" t="n"/>
      <c r="K894" s="111" t="n"/>
      <c r="L894" s="112" t="n"/>
      <c r="M894" s="83" t="n"/>
      <c r="N894" s="84" t="n"/>
    </row>
    <row r="895" ht="15.75" customHeight="1">
      <c r="A895" s="76" t="n"/>
      <c r="B895" s="77" t="n"/>
      <c r="C895" s="78" t="n"/>
      <c r="E895" s="78" t="n"/>
      <c r="F895" s="78" t="n"/>
      <c r="G895" s="77" t="n"/>
      <c r="H895" s="77" t="n"/>
      <c r="I895" s="79" t="n"/>
      <c r="J895" s="110" t="n"/>
      <c r="K895" s="111" t="n"/>
      <c r="L895" s="112" t="n"/>
      <c r="M895" s="83" t="n"/>
      <c r="N895" s="84" t="n"/>
    </row>
    <row r="896" ht="15.75" customHeight="1">
      <c r="A896" s="76" t="n"/>
      <c r="B896" s="77" t="n"/>
      <c r="C896" s="78" t="n"/>
      <c r="E896" s="78" t="n"/>
      <c r="F896" s="78" t="n"/>
      <c r="G896" s="77" t="n"/>
      <c r="H896" s="77" t="n"/>
      <c r="I896" s="79" t="n"/>
      <c r="J896" s="110" t="n"/>
      <c r="K896" s="111" t="n"/>
      <c r="L896" s="112" t="n"/>
      <c r="M896" s="83" t="n"/>
      <c r="N896" s="84" t="n"/>
    </row>
    <row r="897" ht="15.75" customHeight="1">
      <c r="A897" s="76" t="n"/>
      <c r="B897" s="77" t="n"/>
      <c r="C897" s="78" t="n"/>
      <c r="E897" s="78" t="n"/>
      <c r="F897" s="78" t="n"/>
      <c r="G897" s="77" t="n"/>
      <c r="H897" s="77" t="n"/>
      <c r="I897" s="79" t="n"/>
      <c r="J897" s="110" t="n"/>
      <c r="K897" s="111" t="n"/>
      <c r="L897" s="112" t="n"/>
      <c r="M897" s="83" t="n"/>
      <c r="N897" s="84" t="n"/>
    </row>
    <row r="898" ht="15.75" customHeight="1">
      <c r="A898" s="76" t="n"/>
      <c r="B898" s="77" t="n"/>
      <c r="C898" s="78" t="n"/>
      <c r="E898" s="78" t="n"/>
      <c r="F898" s="78" t="n"/>
      <c r="G898" s="77" t="n"/>
      <c r="H898" s="77" t="n"/>
      <c r="I898" s="79" t="n"/>
      <c r="J898" s="110" t="n"/>
      <c r="K898" s="111" t="n"/>
      <c r="L898" s="112" t="n"/>
      <c r="M898" s="83" t="n"/>
      <c r="N898" s="84" t="n"/>
    </row>
    <row r="899" ht="15.75" customHeight="1">
      <c r="A899" s="76" t="n"/>
      <c r="B899" s="77" t="n"/>
      <c r="C899" s="78" t="n"/>
      <c r="E899" s="78" t="n"/>
      <c r="F899" s="78" t="n"/>
      <c r="G899" s="77" t="n"/>
      <c r="H899" s="77" t="n"/>
      <c r="I899" s="79" t="n"/>
      <c r="J899" s="110" t="n"/>
      <c r="K899" s="111" t="n"/>
      <c r="L899" s="112" t="n"/>
      <c r="M899" s="83" t="n"/>
      <c r="N899" s="84" t="n"/>
    </row>
    <row r="900" ht="15.75" customHeight="1">
      <c r="A900" s="76" t="n"/>
      <c r="B900" s="77" t="n"/>
      <c r="C900" s="78" t="n"/>
      <c r="E900" s="78" t="n"/>
      <c r="F900" s="78" t="n"/>
      <c r="G900" s="77" t="n"/>
      <c r="H900" s="77" t="n"/>
      <c r="I900" s="79" t="n"/>
      <c r="J900" s="110" t="n"/>
      <c r="K900" s="111" t="n"/>
      <c r="L900" s="112" t="n"/>
      <c r="M900" s="83" t="n"/>
      <c r="N900" s="84" t="n"/>
    </row>
    <row r="901" ht="15.75" customHeight="1">
      <c r="A901" s="76" t="n"/>
      <c r="B901" s="77" t="n"/>
      <c r="C901" s="78" t="n"/>
      <c r="E901" s="78" t="n"/>
      <c r="F901" s="78" t="n"/>
      <c r="G901" s="77" t="n"/>
      <c r="H901" s="77" t="n"/>
      <c r="I901" s="79" t="n"/>
      <c r="J901" s="110" t="n"/>
      <c r="K901" s="111" t="n"/>
      <c r="L901" s="112" t="n"/>
      <c r="M901" s="83" t="n"/>
      <c r="N901" s="84" t="n"/>
    </row>
    <row r="902" ht="15.75" customHeight="1">
      <c r="A902" s="76" t="n"/>
      <c r="B902" s="77" t="n"/>
      <c r="C902" s="78" t="n"/>
      <c r="E902" s="78" t="n"/>
      <c r="F902" s="78" t="n"/>
      <c r="G902" s="77" t="n"/>
      <c r="H902" s="77" t="n"/>
      <c r="I902" s="79" t="n"/>
      <c r="J902" s="110" t="n"/>
      <c r="K902" s="111" t="n"/>
      <c r="L902" s="112" t="n"/>
      <c r="M902" s="83" t="n"/>
      <c r="N902" s="84" t="n"/>
    </row>
    <row r="903" ht="15.75" customHeight="1">
      <c r="A903" s="76" t="n"/>
      <c r="B903" s="77" t="n"/>
      <c r="C903" s="78" t="n"/>
      <c r="E903" s="78" t="n"/>
      <c r="F903" s="78" t="n"/>
      <c r="G903" s="77" t="n"/>
      <c r="H903" s="77" t="n"/>
      <c r="I903" s="79" t="n"/>
      <c r="J903" s="110" t="n"/>
      <c r="K903" s="111" t="n"/>
      <c r="L903" s="112" t="n"/>
      <c r="M903" s="83" t="n"/>
      <c r="N903" s="84" t="n"/>
    </row>
    <row r="904" ht="15.75" customHeight="1">
      <c r="A904" s="76" t="n"/>
      <c r="B904" s="77" t="n"/>
      <c r="C904" s="78" t="n"/>
      <c r="E904" s="78" t="n"/>
      <c r="F904" s="78" t="n"/>
      <c r="G904" s="77" t="n"/>
      <c r="H904" s="77" t="n"/>
      <c r="I904" s="79" t="n"/>
      <c r="J904" s="110" t="n"/>
      <c r="K904" s="111" t="n"/>
      <c r="L904" s="112" t="n"/>
      <c r="M904" s="83" t="n"/>
      <c r="N904" s="84" t="n"/>
    </row>
    <row r="905" ht="15.75" customHeight="1">
      <c r="A905" s="76" t="n"/>
      <c r="B905" s="77" t="n"/>
      <c r="C905" s="78" t="n"/>
      <c r="E905" s="78" t="n"/>
      <c r="F905" s="78" t="n"/>
      <c r="G905" s="77" t="n"/>
      <c r="H905" s="77" t="n"/>
      <c r="I905" s="79" t="n"/>
      <c r="J905" s="110" t="n"/>
      <c r="K905" s="111" t="n"/>
      <c r="L905" s="112" t="n"/>
      <c r="M905" s="83" t="n"/>
      <c r="N905" s="84" t="n"/>
    </row>
    <row r="906" ht="15.75" customHeight="1">
      <c r="A906" s="76" t="n"/>
      <c r="B906" s="77" t="n"/>
      <c r="C906" s="78" t="n"/>
      <c r="E906" s="78" t="n"/>
      <c r="F906" s="78" t="n"/>
      <c r="G906" s="77" t="n"/>
      <c r="H906" s="77" t="n"/>
      <c r="I906" s="79" t="n"/>
      <c r="J906" s="110" t="n"/>
      <c r="K906" s="111" t="n"/>
      <c r="L906" s="112" t="n"/>
      <c r="M906" s="83" t="n"/>
      <c r="N906" s="84" t="n"/>
    </row>
    <row r="907" ht="15.75" customHeight="1">
      <c r="A907" s="76" t="n"/>
      <c r="B907" s="77" t="n"/>
      <c r="C907" s="78" t="n"/>
      <c r="E907" s="78" t="n"/>
      <c r="F907" s="78" t="n"/>
      <c r="G907" s="77" t="n"/>
      <c r="H907" s="77" t="n"/>
      <c r="I907" s="79" t="n"/>
      <c r="J907" s="110" t="n"/>
      <c r="K907" s="111" t="n"/>
      <c r="L907" s="112" t="n"/>
      <c r="M907" s="83" t="n"/>
      <c r="N907" s="84" t="n"/>
    </row>
    <row r="908" ht="15.75" customHeight="1">
      <c r="A908" s="76" t="n"/>
      <c r="B908" s="77" t="n"/>
      <c r="C908" s="78" t="n"/>
      <c r="E908" s="78" t="n"/>
      <c r="F908" s="78" t="n"/>
      <c r="G908" s="77" t="n"/>
      <c r="H908" s="77" t="n"/>
      <c r="I908" s="79" t="n"/>
      <c r="J908" s="110" t="n"/>
      <c r="K908" s="111" t="n"/>
      <c r="L908" s="112" t="n"/>
      <c r="M908" s="83" t="n"/>
      <c r="N908" s="84" t="n"/>
    </row>
    <row r="909" ht="15.75" customHeight="1">
      <c r="A909" s="76" t="n"/>
      <c r="B909" s="77" t="n"/>
      <c r="C909" s="78" t="n"/>
      <c r="E909" s="78" t="n"/>
      <c r="F909" s="78" t="n"/>
      <c r="G909" s="77" t="n"/>
      <c r="H909" s="77" t="n"/>
      <c r="I909" s="79" t="n"/>
      <c r="J909" s="110" t="n"/>
      <c r="K909" s="111" t="n"/>
      <c r="L909" s="112" t="n"/>
      <c r="M909" s="83" t="n"/>
      <c r="N909" s="84" t="n"/>
    </row>
    <row r="910" ht="15.75" customHeight="1">
      <c r="A910" s="76" t="n"/>
      <c r="B910" s="77" t="n"/>
      <c r="C910" s="78" t="n"/>
      <c r="E910" s="78" t="n"/>
      <c r="F910" s="78" t="n"/>
      <c r="G910" s="77" t="n"/>
      <c r="H910" s="77" t="n"/>
      <c r="I910" s="79" t="n"/>
      <c r="J910" s="110" t="n"/>
      <c r="K910" s="111" t="n"/>
      <c r="L910" s="112" t="n"/>
      <c r="M910" s="83" t="n"/>
      <c r="N910" s="84" t="n"/>
    </row>
    <row r="911" ht="15.75" customHeight="1">
      <c r="A911" s="76" t="n"/>
      <c r="B911" s="77" t="n"/>
      <c r="C911" s="78" t="n"/>
      <c r="E911" s="78" t="n"/>
      <c r="F911" s="78" t="n"/>
      <c r="G911" s="77" t="n"/>
      <c r="H911" s="77" t="n"/>
      <c r="I911" s="79" t="n"/>
      <c r="J911" s="110" t="n"/>
      <c r="K911" s="111" t="n"/>
      <c r="L911" s="112" t="n"/>
      <c r="M911" s="83" t="n"/>
      <c r="N911" s="84" t="n"/>
    </row>
    <row r="912" ht="15.75" customHeight="1">
      <c r="A912" s="76" t="n"/>
      <c r="B912" s="77" t="n"/>
      <c r="C912" s="78" t="n"/>
      <c r="E912" s="78" t="n"/>
      <c r="F912" s="78" t="n"/>
      <c r="G912" s="77" t="n"/>
      <c r="H912" s="77" t="n"/>
      <c r="I912" s="79" t="n"/>
      <c r="J912" s="110" t="n"/>
      <c r="K912" s="111" t="n"/>
      <c r="L912" s="112" t="n"/>
      <c r="M912" s="83" t="n"/>
      <c r="N912" s="84" t="n"/>
    </row>
    <row r="913" ht="15.75" customHeight="1">
      <c r="A913" s="76" t="n"/>
      <c r="B913" s="77" t="n"/>
      <c r="C913" s="78" t="n"/>
      <c r="E913" s="78" t="n"/>
      <c r="F913" s="78" t="n"/>
      <c r="G913" s="77" t="n"/>
      <c r="H913" s="77" t="n"/>
      <c r="I913" s="79" t="n"/>
      <c r="J913" s="110" t="n"/>
      <c r="K913" s="111" t="n"/>
      <c r="L913" s="112" t="n"/>
      <c r="M913" s="83" t="n"/>
      <c r="N913" s="84" t="n"/>
    </row>
    <row r="914" ht="15.75" customHeight="1">
      <c r="A914" s="76" t="n"/>
      <c r="B914" s="77" t="n"/>
      <c r="C914" s="78" t="n"/>
      <c r="E914" s="78" t="n"/>
      <c r="F914" s="78" t="n"/>
      <c r="G914" s="77" t="n"/>
      <c r="H914" s="77" t="n"/>
      <c r="I914" s="79" t="n"/>
      <c r="J914" s="110" t="n"/>
      <c r="K914" s="111" t="n"/>
      <c r="L914" s="112" t="n"/>
      <c r="M914" s="83" t="n"/>
      <c r="N914" s="84" t="n"/>
    </row>
    <row r="915" ht="15.75" customHeight="1">
      <c r="A915" s="76" t="n"/>
      <c r="B915" s="77" t="n"/>
      <c r="C915" s="78" t="n"/>
      <c r="E915" s="78" t="n"/>
      <c r="F915" s="78" t="n"/>
      <c r="G915" s="77" t="n"/>
      <c r="H915" s="77" t="n"/>
      <c r="I915" s="79" t="n"/>
      <c r="J915" s="110" t="n"/>
      <c r="K915" s="111" t="n"/>
      <c r="L915" s="112" t="n"/>
      <c r="M915" s="83" t="n"/>
      <c r="N915" s="84" t="n"/>
    </row>
    <row r="916" ht="15.75" customHeight="1">
      <c r="A916" s="76" t="n"/>
      <c r="B916" s="77" t="n"/>
      <c r="C916" s="78" t="n"/>
      <c r="E916" s="78" t="n"/>
      <c r="F916" s="78" t="n"/>
      <c r="G916" s="77" t="n"/>
      <c r="H916" s="77" t="n"/>
      <c r="I916" s="79" t="n"/>
      <c r="J916" s="110" t="n"/>
      <c r="K916" s="111" t="n"/>
      <c r="L916" s="112" t="n"/>
      <c r="M916" s="83" t="n"/>
      <c r="N916" s="84" t="n"/>
    </row>
    <row r="917" ht="15.75" customHeight="1">
      <c r="A917" s="76" t="n"/>
      <c r="B917" s="77" t="n"/>
      <c r="C917" s="78" t="n"/>
      <c r="E917" s="78" t="n"/>
      <c r="F917" s="78" t="n"/>
      <c r="G917" s="77" t="n"/>
      <c r="H917" s="77" t="n"/>
      <c r="I917" s="79" t="n"/>
      <c r="J917" s="110" t="n"/>
      <c r="K917" s="111" t="n"/>
      <c r="L917" s="112" t="n"/>
      <c r="M917" s="83" t="n"/>
      <c r="N917" s="84" t="n"/>
    </row>
    <row r="918" ht="15.75" customHeight="1">
      <c r="A918" s="76" t="n"/>
      <c r="B918" s="77" t="n"/>
      <c r="C918" s="78" t="n"/>
      <c r="E918" s="78" t="n"/>
      <c r="F918" s="78" t="n"/>
      <c r="G918" s="77" t="n"/>
      <c r="H918" s="77" t="n"/>
      <c r="I918" s="79" t="n"/>
      <c r="J918" s="110" t="n"/>
      <c r="K918" s="111" t="n"/>
      <c r="L918" s="112" t="n"/>
      <c r="M918" s="83" t="n"/>
      <c r="N918" s="84" t="n"/>
    </row>
    <row r="919" ht="15.75" customHeight="1">
      <c r="A919" s="76" t="n"/>
      <c r="B919" s="77" t="n"/>
      <c r="C919" s="78" t="n"/>
      <c r="E919" s="78" t="n"/>
      <c r="F919" s="78" t="n"/>
      <c r="G919" s="77" t="n"/>
      <c r="H919" s="77" t="n"/>
      <c r="I919" s="79" t="n"/>
      <c r="J919" s="110" t="n"/>
      <c r="K919" s="111" t="n"/>
      <c r="L919" s="112" t="n"/>
      <c r="M919" s="83" t="n"/>
      <c r="N919" s="84" t="n"/>
    </row>
    <row r="920" ht="15.75" customHeight="1">
      <c r="A920" s="76" t="n"/>
      <c r="B920" s="77" t="n"/>
      <c r="C920" s="78" t="n"/>
      <c r="E920" s="78" t="n"/>
      <c r="F920" s="78" t="n"/>
      <c r="G920" s="77" t="n"/>
      <c r="H920" s="77" t="n"/>
      <c r="I920" s="79" t="n"/>
      <c r="J920" s="110" t="n"/>
      <c r="K920" s="111" t="n"/>
      <c r="L920" s="112" t="n"/>
      <c r="M920" s="83" t="n"/>
      <c r="N920" s="84" t="n"/>
    </row>
    <row r="921" ht="15.75" customHeight="1">
      <c r="A921" s="76" t="n"/>
      <c r="B921" s="77" t="n"/>
      <c r="C921" s="78" t="n"/>
      <c r="E921" s="78" t="n"/>
      <c r="F921" s="78" t="n"/>
      <c r="G921" s="77" t="n"/>
      <c r="H921" s="77" t="n"/>
      <c r="I921" s="79" t="n"/>
      <c r="J921" s="110" t="n"/>
      <c r="K921" s="111" t="n"/>
      <c r="L921" s="112" t="n"/>
      <c r="M921" s="83" t="n"/>
      <c r="N921" s="84" t="n"/>
    </row>
    <row r="922" ht="15.75" customHeight="1">
      <c r="A922" s="76" t="n"/>
      <c r="B922" s="77" t="n"/>
      <c r="C922" s="78" t="n"/>
      <c r="E922" s="78" t="n"/>
      <c r="F922" s="78" t="n"/>
      <c r="G922" s="77" t="n"/>
      <c r="H922" s="77" t="n"/>
      <c r="I922" s="79" t="n"/>
      <c r="J922" s="110" t="n"/>
      <c r="K922" s="111" t="n"/>
      <c r="L922" s="112" t="n"/>
      <c r="M922" s="83" t="n"/>
      <c r="N922" s="84" t="n"/>
    </row>
    <row r="923" ht="15.75" customHeight="1">
      <c r="A923" s="76" t="n"/>
      <c r="B923" s="77" t="n"/>
      <c r="C923" s="78" t="n"/>
      <c r="E923" s="78" t="n"/>
      <c r="F923" s="78" t="n"/>
      <c r="G923" s="77" t="n"/>
      <c r="H923" s="77" t="n"/>
      <c r="I923" s="79" t="n"/>
      <c r="J923" s="110" t="n"/>
      <c r="K923" s="111" t="n"/>
      <c r="L923" s="112" t="n"/>
      <c r="M923" s="83" t="n"/>
      <c r="N923" s="84" t="n"/>
    </row>
    <row r="924" ht="15.75" customHeight="1">
      <c r="A924" s="76" t="n"/>
      <c r="B924" s="77" t="n"/>
      <c r="C924" s="78" t="n"/>
      <c r="E924" s="78" t="n"/>
      <c r="F924" s="78" t="n"/>
      <c r="G924" s="77" t="n"/>
      <c r="H924" s="77" t="n"/>
      <c r="I924" s="79" t="n"/>
      <c r="J924" s="110" t="n"/>
      <c r="K924" s="111" t="n"/>
      <c r="L924" s="112" t="n"/>
      <c r="M924" s="83" t="n"/>
      <c r="N924" s="84" t="n"/>
    </row>
    <row r="925" ht="15.75" customHeight="1">
      <c r="A925" s="76" t="n"/>
      <c r="B925" s="77" t="n"/>
      <c r="C925" s="78" t="n"/>
      <c r="E925" s="78" t="n"/>
      <c r="F925" s="78" t="n"/>
      <c r="G925" s="77" t="n"/>
      <c r="H925" s="77" t="n"/>
      <c r="I925" s="79" t="n"/>
      <c r="J925" s="110" t="n"/>
      <c r="K925" s="111" t="n"/>
      <c r="L925" s="112" t="n"/>
      <c r="M925" s="83" t="n"/>
      <c r="N925" s="84" t="n"/>
    </row>
    <row r="926" ht="15.75" customHeight="1">
      <c r="A926" s="76" t="n"/>
      <c r="B926" s="77" t="n"/>
      <c r="C926" s="78" t="n"/>
      <c r="E926" s="78" t="n"/>
      <c r="F926" s="78" t="n"/>
      <c r="G926" s="77" t="n"/>
      <c r="H926" s="77" t="n"/>
      <c r="I926" s="79" t="n"/>
      <c r="J926" s="110" t="n"/>
      <c r="K926" s="111" t="n"/>
      <c r="L926" s="112" t="n"/>
      <c r="M926" s="83" t="n"/>
      <c r="N926" s="84" t="n"/>
    </row>
    <row r="927" ht="15.75" customHeight="1">
      <c r="A927" s="76" t="n"/>
      <c r="B927" s="77" t="n"/>
      <c r="C927" s="78" t="n"/>
      <c r="E927" s="78" t="n"/>
      <c r="F927" s="78" t="n"/>
      <c r="G927" s="77" t="n"/>
      <c r="H927" s="77" t="n"/>
      <c r="I927" s="79" t="n"/>
      <c r="J927" s="110" t="n"/>
      <c r="K927" s="111" t="n"/>
      <c r="L927" s="112" t="n"/>
      <c r="M927" s="83" t="n"/>
      <c r="N927" s="84" t="n"/>
    </row>
    <row r="928" ht="15.75" customHeight="1">
      <c r="A928" s="76" t="n"/>
      <c r="B928" s="77" t="n"/>
      <c r="C928" s="78" t="n"/>
      <c r="E928" s="78" t="n"/>
      <c r="F928" s="78" t="n"/>
      <c r="G928" s="77" t="n"/>
      <c r="H928" s="77" t="n"/>
      <c r="I928" s="79" t="n"/>
      <c r="J928" s="110" t="n"/>
      <c r="K928" s="111" t="n"/>
      <c r="L928" s="112" t="n"/>
      <c r="M928" s="83" t="n"/>
      <c r="N928" s="84" t="n"/>
    </row>
    <row r="929" ht="15.75" customHeight="1">
      <c r="A929" s="76" t="n"/>
      <c r="B929" s="77" t="n"/>
      <c r="C929" s="78" t="n"/>
      <c r="E929" s="78" t="n"/>
      <c r="F929" s="78" t="n"/>
      <c r="G929" s="77" t="n"/>
      <c r="H929" s="77" t="n"/>
      <c r="I929" s="79" t="n"/>
      <c r="J929" s="110" t="n"/>
      <c r="K929" s="111" t="n"/>
      <c r="L929" s="112" t="n"/>
      <c r="M929" s="83" t="n"/>
      <c r="N929" s="84" t="n"/>
    </row>
    <row r="930" ht="15.75" customHeight="1">
      <c r="A930" s="76" t="n"/>
      <c r="B930" s="77" t="n"/>
      <c r="C930" s="78" t="n"/>
      <c r="E930" s="78" t="n"/>
      <c r="F930" s="78" t="n"/>
      <c r="G930" s="77" t="n"/>
      <c r="H930" s="77" t="n"/>
      <c r="I930" s="79" t="n"/>
      <c r="J930" s="110" t="n"/>
      <c r="K930" s="111" t="n"/>
      <c r="L930" s="112" t="n"/>
      <c r="M930" s="83" t="n"/>
      <c r="N930" s="84" t="n"/>
    </row>
    <row r="931" ht="15.75" customHeight="1">
      <c r="A931" s="76" t="n"/>
      <c r="B931" s="77" t="n"/>
      <c r="C931" s="78" t="n"/>
      <c r="E931" s="78" t="n"/>
      <c r="F931" s="78" t="n"/>
      <c r="G931" s="77" t="n"/>
      <c r="H931" s="77" t="n"/>
      <c r="I931" s="79" t="n"/>
      <c r="J931" s="110" t="n"/>
      <c r="K931" s="111" t="n"/>
      <c r="L931" s="112" t="n"/>
      <c r="M931" s="83" t="n"/>
      <c r="N931" s="84" t="n"/>
    </row>
    <row r="932" ht="15.75" customHeight="1">
      <c r="A932" s="76" t="n"/>
      <c r="B932" s="77" t="n"/>
      <c r="C932" s="78" t="n"/>
      <c r="E932" s="78" t="n"/>
      <c r="F932" s="78" t="n"/>
      <c r="G932" s="77" t="n"/>
      <c r="H932" s="77" t="n"/>
      <c r="I932" s="79" t="n"/>
      <c r="J932" s="110" t="n"/>
      <c r="K932" s="111" t="n"/>
      <c r="L932" s="112" t="n"/>
      <c r="M932" s="83" t="n"/>
      <c r="N932" s="84" t="n"/>
    </row>
    <row r="933" ht="15.75" customHeight="1">
      <c r="A933" s="76" t="n"/>
      <c r="B933" s="77" t="n"/>
      <c r="C933" s="78" t="n"/>
      <c r="E933" s="78" t="n"/>
      <c r="F933" s="78" t="n"/>
      <c r="G933" s="77" t="n"/>
      <c r="H933" s="77" t="n"/>
      <c r="I933" s="79" t="n"/>
      <c r="J933" s="110" t="n"/>
      <c r="K933" s="111" t="n"/>
      <c r="L933" s="112" t="n"/>
      <c r="M933" s="83" t="n"/>
      <c r="N933" s="84" t="n"/>
    </row>
    <row r="934" ht="15.75" customHeight="1">
      <c r="A934" s="76" t="n"/>
      <c r="B934" s="77" t="n"/>
      <c r="C934" s="78" t="n"/>
      <c r="E934" s="78" t="n"/>
      <c r="F934" s="78" t="n"/>
      <c r="G934" s="77" t="n"/>
      <c r="H934" s="77" t="n"/>
      <c r="I934" s="79" t="n"/>
      <c r="J934" s="110" t="n"/>
      <c r="K934" s="111" t="n"/>
      <c r="L934" s="112" t="n"/>
      <c r="M934" s="83" t="n"/>
      <c r="N934" s="84" t="n"/>
    </row>
    <row r="935" ht="15.75" customHeight="1">
      <c r="A935" s="76" t="n"/>
      <c r="B935" s="77" t="n"/>
      <c r="C935" s="78" t="n"/>
      <c r="E935" s="78" t="n"/>
      <c r="F935" s="78" t="n"/>
      <c r="G935" s="77" t="n"/>
      <c r="H935" s="77" t="n"/>
      <c r="I935" s="79" t="n"/>
      <c r="J935" s="110" t="n"/>
      <c r="K935" s="111" t="n"/>
      <c r="L935" s="112" t="n"/>
      <c r="M935" s="83" t="n"/>
      <c r="N935" s="84" t="n"/>
    </row>
    <row r="936" ht="15.75" customHeight="1">
      <c r="A936" s="76" t="n"/>
      <c r="B936" s="77" t="n"/>
      <c r="C936" s="78" t="n"/>
      <c r="E936" s="78" t="n"/>
      <c r="F936" s="78" t="n"/>
      <c r="G936" s="77" t="n"/>
      <c r="H936" s="77" t="n"/>
      <c r="I936" s="79" t="n"/>
      <c r="J936" s="110" t="n"/>
      <c r="K936" s="111" t="n"/>
      <c r="L936" s="112" t="n"/>
      <c r="M936" s="83" t="n"/>
      <c r="N936" s="84" t="n"/>
    </row>
    <row r="937" ht="15.75" customHeight="1">
      <c r="A937" s="76" t="n"/>
      <c r="B937" s="77" t="n"/>
      <c r="C937" s="78" t="n"/>
      <c r="E937" s="78" t="n"/>
      <c r="F937" s="78" t="n"/>
      <c r="G937" s="77" t="n"/>
      <c r="H937" s="77" t="n"/>
      <c r="I937" s="79" t="n"/>
      <c r="J937" s="110" t="n"/>
      <c r="K937" s="111" t="n"/>
      <c r="L937" s="112" t="n"/>
      <c r="M937" s="83" t="n"/>
      <c r="N937" s="84" t="n"/>
    </row>
    <row r="938" ht="15.75" customHeight="1">
      <c r="A938" s="76" t="n"/>
      <c r="B938" s="77" t="n"/>
      <c r="C938" s="78" t="n"/>
      <c r="E938" s="78" t="n"/>
      <c r="F938" s="78" t="n"/>
      <c r="G938" s="77" t="n"/>
      <c r="H938" s="77" t="n"/>
      <c r="I938" s="79" t="n"/>
      <c r="J938" s="110" t="n"/>
      <c r="K938" s="111" t="n"/>
      <c r="L938" s="112" t="n"/>
      <c r="M938" s="83" t="n"/>
      <c r="N938" s="84" t="n"/>
    </row>
    <row r="939" ht="15.75" customHeight="1">
      <c r="A939" s="76" t="n"/>
      <c r="B939" s="77" t="n"/>
      <c r="C939" s="78" t="n"/>
      <c r="E939" s="78" t="n"/>
      <c r="F939" s="78" t="n"/>
      <c r="G939" s="77" t="n"/>
      <c r="H939" s="77" t="n"/>
      <c r="I939" s="79" t="n"/>
      <c r="J939" s="110" t="n"/>
      <c r="K939" s="111" t="n"/>
      <c r="L939" s="112" t="n"/>
      <c r="M939" s="83" t="n"/>
      <c r="N939" s="84" t="n"/>
    </row>
    <row r="940" ht="15.75" customHeight="1">
      <c r="A940" s="76" t="n"/>
      <c r="B940" s="77" t="n"/>
      <c r="C940" s="78" t="n"/>
      <c r="E940" s="78" t="n"/>
      <c r="F940" s="78" t="n"/>
      <c r="G940" s="77" t="n"/>
      <c r="H940" s="77" t="n"/>
      <c r="I940" s="79" t="n"/>
      <c r="J940" s="110" t="n"/>
      <c r="K940" s="111" t="n"/>
      <c r="L940" s="112" t="n"/>
      <c r="M940" s="83" t="n"/>
      <c r="N940" s="84" t="n"/>
    </row>
    <row r="941" ht="15.75" customHeight="1">
      <c r="A941" s="76" t="n"/>
      <c r="B941" s="77" t="n"/>
      <c r="C941" s="78" t="n"/>
      <c r="E941" s="78" t="n"/>
      <c r="F941" s="78" t="n"/>
      <c r="G941" s="77" t="n"/>
      <c r="H941" s="77" t="n"/>
      <c r="I941" s="79" t="n"/>
      <c r="J941" s="110" t="n"/>
      <c r="K941" s="111" t="n"/>
      <c r="L941" s="112" t="n"/>
      <c r="M941" s="83" t="n"/>
      <c r="N941" s="84" t="n"/>
    </row>
    <row r="942" ht="15.75" customHeight="1">
      <c r="A942" s="76" t="n"/>
      <c r="B942" s="77" t="n"/>
      <c r="C942" s="78" t="n"/>
      <c r="E942" s="78" t="n"/>
      <c r="F942" s="78" t="n"/>
      <c r="G942" s="77" t="n"/>
      <c r="H942" s="77" t="n"/>
      <c r="I942" s="79" t="n"/>
      <c r="J942" s="110" t="n"/>
      <c r="K942" s="111" t="n"/>
      <c r="L942" s="112" t="n"/>
      <c r="M942" s="83" t="n"/>
      <c r="N942" s="84" t="n"/>
    </row>
    <row r="943" ht="15.75" customHeight="1">
      <c r="A943" s="76" t="n"/>
      <c r="B943" s="77" t="n"/>
      <c r="C943" s="78" t="n"/>
      <c r="E943" s="78" t="n"/>
      <c r="F943" s="78" t="n"/>
      <c r="G943" s="77" t="n"/>
      <c r="H943" s="77" t="n"/>
      <c r="I943" s="79" t="n"/>
      <c r="J943" s="110" t="n"/>
      <c r="K943" s="111" t="n"/>
      <c r="L943" s="112" t="n"/>
      <c r="M943" s="83" t="n"/>
      <c r="N943" s="84" t="n"/>
    </row>
    <row r="944" ht="15.75" customHeight="1">
      <c r="A944" s="76" t="n"/>
      <c r="B944" s="77" t="n"/>
      <c r="C944" s="78" t="n"/>
      <c r="E944" s="78" t="n"/>
      <c r="F944" s="78" t="n"/>
      <c r="G944" s="77" t="n"/>
      <c r="H944" s="77" t="n"/>
      <c r="I944" s="79" t="n"/>
      <c r="J944" s="110" t="n"/>
      <c r="K944" s="111" t="n"/>
      <c r="L944" s="112" t="n"/>
      <c r="M944" s="83" t="n"/>
      <c r="N944" s="84" t="n"/>
    </row>
    <row r="945" ht="15.75" customHeight="1">
      <c r="A945" s="76" t="n"/>
      <c r="B945" s="77" t="n"/>
      <c r="C945" s="78" t="n"/>
      <c r="E945" s="78" t="n"/>
      <c r="F945" s="78" t="n"/>
      <c r="G945" s="77" t="n"/>
      <c r="H945" s="77" t="n"/>
      <c r="I945" s="79" t="n"/>
      <c r="J945" s="110" t="n"/>
      <c r="K945" s="111" t="n"/>
      <c r="L945" s="112" t="n"/>
      <c r="M945" s="83" t="n"/>
      <c r="N945" s="84" t="n"/>
    </row>
    <row r="946" ht="15.75" customHeight="1">
      <c r="A946" s="76" t="n"/>
      <c r="B946" s="77" t="n"/>
      <c r="C946" s="78" t="n"/>
      <c r="E946" s="78" t="n"/>
      <c r="F946" s="78" t="n"/>
      <c r="G946" s="77" t="n"/>
      <c r="H946" s="77" t="n"/>
      <c r="I946" s="79" t="n"/>
      <c r="J946" s="110" t="n"/>
      <c r="K946" s="111" t="n"/>
      <c r="L946" s="112" t="n"/>
      <c r="M946" s="83" t="n"/>
      <c r="N946" s="84" t="n"/>
    </row>
    <row r="947" ht="15.75" customHeight="1">
      <c r="A947" s="76" t="n"/>
      <c r="B947" s="77" t="n"/>
      <c r="C947" s="78" t="n"/>
      <c r="E947" s="78" t="n"/>
      <c r="F947" s="78" t="n"/>
      <c r="G947" s="77" t="n"/>
      <c r="H947" s="77" t="n"/>
      <c r="I947" s="79" t="n"/>
      <c r="J947" s="110" t="n"/>
      <c r="K947" s="111" t="n"/>
      <c r="L947" s="112" t="n"/>
      <c r="M947" s="83" t="n"/>
      <c r="N947" s="84" t="n"/>
    </row>
    <row r="948" ht="15.75" customHeight="1">
      <c r="A948" s="76" t="n"/>
      <c r="B948" s="77" t="n"/>
      <c r="C948" s="78" t="n"/>
      <c r="E948" s="78" t="n"/>
      <c r="F948" s="78" t="n"/>
      <c r="G948" s="77" t="n"/>
      <c r="H948" s="77" t="n"/>
      <c r="I948" s="79" t="n"/>
      <c r="J948" s="110" t="n"/>
      <c r="K948" s="111" t="n"/>
      <c r="L948" s="112" t="n"/>
      <c r="M948" s="83" t="n"/>
      <c r="N948" s="84" t="n"/>
    </row>
    <row r="949" ht="15.75" customHeight="1">
      <c r="A949" s="76" t="n"/>
      <c r="B949" s="77" t="n"/>
      <c r="C949" s="78" t="n"/>
      <c r="E949" s="78" t="n"/>
      <c r="F949" s="78" t="n"/>
      <c r="G949" s="77" t="n"/>
      <c r="H949" s="77" t="n"/>
      <c r="I949" s="79" t="n"/>
      <c r="J949" s="110" t="n"/>
      <c r="K949" s="111" t="n"/>
      <c r="L949" s="112" t="n"/>
      <c r="M949" s="83" t="n"/>
      <c r="N949" s="84" t="n"/>
    </row>
    <row r="950" ht="15.75" customHeight="1">
      <c r="A950" s="76" t="n"/>
      <c r="B950" s="77" t="n"/>
      <c r="C950" s="78" t="n"/>
      <c r="E950" s="78" t="n"/>
      <c r="F950" s="78" t="n"/>
      <c r="G950" s="77" t="n"/>
      <c r="H950" s="77" t="n"/>
      <c r="I950" s="79" t="n"/>
      <c r="J950" s="110" t="n"/>
      <c r="K950" s="111" t="n"/>
      <c r="L950" s="112" t="n"/>
      <c r="M950" s="83" t="n"/>
      <c r="N950" s="84" t="n"/>
    </row>
    <row r="951" ht="15.75" customHeight="1">
      <c r="A951" s="76" t="n"/>
      <c r="B951" s="77" t="n"/>
      <c r="C951" s="78" t="n"/>
      <c r="E951" s="78" t="n"/>
      <c r="F951" s="78" t="n"/>
      <c r="G951" s="77" t="n"/>
      <c r="H951" s="77" t="n"/>
      <c r="I951" s="79" t="n"/>
      <c r="J951" s="110" t="n"/>
      <c r="K951" s="111" t="n"/>
      <c r="L951" s="112" t="n"/>
      <c r="M951" s="83" t="n"/>
      <c r="N951" s="84" t="n"/>
    </row>
    <row r="952" ht="15.75" customHeight="1">
      <c r="A952" s="76" t="n"/>
      <c r="B952" s="77" t="n"/>
      <c r="C952" s="78" t="n"/>
      <c r="E952" s="78" t="n"/>
      <c r="F952" s="78" t="n"/>
      <c r="G952" s="77" t="n"/>
      <c r="H952" s="77" t="n"/>
      <c r="I952" s="79" t="n"/>
      <c r="J952" s="110" t="n"/>
      <c r="K952" s="111" t="n"/>
      <c r="L952" s="112" t="n"/>
      <c r="M952" s="83" t="n"/>
      <c r="N952" s="84" t="n"/>
    </row>
    <row r="953" ht="15.75" customHeight="1">
      <c r="A953" s="76" t="n"/>
      <c r="B953" s="77" t="n"/>
      <c r="C953" s="78" t="n"/>
      <c r="E953" s="78" t="n"/>
      <c r="F953" s="78" t="n"/>
      <c r="G953" s="77" t="n"/>
      <c r="H953" s="77" t="n"/>
      <c r="I953" s="79" t="n"/>
      <c r="J953" s="110" t="n"/>
      <c r="K953" s="111" t="n"/>
      <c r="L953" s="112" t="n"/>
      <c r="M953" s="83" t="n"/>
      <c r="N953" s="84" t="n"/>
    </row>
    <row r="954" ht="15.75" customHeight="1">
      <c r="A954" s="76" t="n"/>
      <c r="B954" s="77" t="n"/>
      <c r="C954" s="78" t="n"/>
      <c r="E954" s="78" t="n"/>
      <c r="F954" s="78" t="n"/>
      <c r="G954" s="77" t="n"/>
      <c r="H954" s="77" t="n"/>
      <c r="I954" s="79" t="n"/>
      <c r="J954" s="110" t="n"/>
      <c r="K954" s="111" t="n"/>
      <c r="L954" s="112" t="n"/>
      <c r="M954" s="83" t="n"/>
      <c r="N954" s="84" t="n"/>
    </row>
    <row r="955" ht="15.75" customHeight="1">
      <c r="A955" s="76" t="n"/>
      <c r="B955" s="77" t="n"/>
      <c r="C955" s="78" t="n"/>
      <c r="E955" s="78" t="n"/>
      <c r="F955" s="78" t="n"/>
      <c r="G955" s="77" t="n"/>
      <c r="H955" s="77" t="n"/>
      <c r="I955" s="79" t="n"/>
      <c r="J955" s="110" t="n"/>
      <c r="K955" s="111" t="n"/>
      <c r="L955" s="112" t="n"/>
      <c r="M955" s="83" t="n"/>
      <c r="N955" s="84" t="n"/>
    </row>
    <row r="956" ht="15.75" customHeight="1">
      <c r="A956" s="76" t="n"/>
      <c r="B956" s="77" t="n"/>
      <c r="C956" s="78" t="n"/>
      <c r="E956" s="78" t="n"/>
      <c r="F956" s="78" t="n"/>
      <c r="G956" s="77" t="n"/>
      <c r="H956" s="77" t="n"/>
      <c r="I956" s="79" t="n"/>
      <c r="J956" s="110" t="n"/>
      <c r="K956" s="111" t="n"/>
      <c r="L956" s="112" t="n"/>
      <c r="M956" s="83" t="n"/>
      <c r="N956" s="84" t="n"/>
    </row>
    <row r="957" ht="15.75" customHeight="1">
      <c r="A957" s="76" t="n"/>
      <c r="B957" s="77" t="n"/>
      <c r="C957" s="78" t="n"/>
      <c r="E957" s="78" t="n"/>
      <c r="F957" s="78" t="n"/>
      <c r="G957" s="77" t="n"/>
      <c r="H957" s="77" t="n"/>
      <c r="I957" s="79" t="n"/>
      <c r="J957" s="110" t="n"/>
      <c r="K957" s="111" t="n"/>
      <c r="L957" s="112" t="n"/>
      <c r="M957" s="83" t="n"/>
      <c r="N957" s="84" t="n"/>
    </row>
    <row r="958" ht="15.75" customHeight="1">
      <c r="A958" s="76" t="n"/>
      <c r="B958" s="77" t="n"/>
      <c r="C958" s="78" t="n"/>
      <c r="E958" s="78" t="n"/>
      <c r="F958" s="78" t="n"/>
      <c r="G958" s="77" t="n"/>
      <c r="H958" s="77" t="n"/>
      <c r="I958" s="79" t="n"/>
      <c r="J958" s="110" t="n"/>
      <c r="K958" s="111" t="n"/>
      <c r="L958" s="112" t="n"/>
      <c r="M958" s="83" t="n"/>
      <c r="N958" s="84" t="n"/>
    </row>
    <row r="959" ht="15.75" customHeight="1">
      <c r="A959" s="76" t="n"/>
      <c r="B959" s="77" t="n"/>
      <c r="C959" s="78" t="n"/>
      <c r="E959" s="78" t="n"/>
      <c r="F959" s="78" t="n"/>
      <c r="G959" s="77" t="n"/>
      <c r="H959" s="77" t="n"/>
      <c r="I959" s="79" t="n"/>
      <c r="J959" s="110" t="n"/>
      <c r="K959" s="111" t="n"/>
      <c r="L959" s="112" t="n"/>
      <c r="M959" s="83" t="n"/>
      <c r="N959" s="84" t="n"/>
    </row>
    <row r="960" ht="15.75" customHeight="1">
      <c r="A960" s="76" t="n"/>
      <c r="B960" s="77" t="n"/>
      <c r="C960" s="78" t="n"/>
      <c r="E960" s="78" t="n"/>
      <c r="F960" s="78" t="n"/>
      <c r="G960" s="77" t="n"/>
      <c r="H960" s="77" t="n"/>
      <c r="I960" s="79" t="n"/>
      <c r="J960" s="110" t="n"/>
      <c r="K960" s="111" t="n"/>
      <c r="L960" s="112" t="n"/>
      <c r="M960" s="83" t="n"/>
      <c r="N960" s="84" t="n"/>
    </row>
    <row r="961" ht="15.75" customHeight="1">
      <c r="A961" s="76" t="n"/>
      <c r="B961" s="77" t="n"/>
      <c r="C961" s="78" t="n"/>
      <c r="E961" s="78" t="n"/>
      <c r="F961" s="78" t="n"/>
      <c r="G961" s="77" t="n"/>
      <c r="H961" s="77" t="n"/>
      <c r="I961" s="79" t="n"/>
      <c r="J961" s="110" t="n"/>
      <c r="K961" s="111" t="n"/>
      <c r="L961" s="112" t="n"/>
      <c r="M961" s="83" t="n"/>
      <c r="N961" s="84" t="n"/>
    </row>
    <row r="962" ht="15.75" customHeight="1">
      <c r="A962" s="76" t="n"/>
      <c r="B962" s="77" t="n"/>
      <c r="C962" s="78" t="n"/>
      <c r="E962" s="78" t="n"/>
      <c r="F962" s="78" t="n"/>
      <c r="G962" s="77" t="n"/>
      <c r="H962" s="77" t="n"/>
      <c r="I962" s="79" t="n"/>
      <c r="J962" s="110" t="n"/>
      <c r="K962" s="111" t="n"/>
      <c r="L962" s="112" t="n"/>
      <c r="M962" s="83" t="n"/>
      <c r="N962" s="84" t="n"/>
    </row>
    <row r="963" ht="15.75" customHeight="1">
      <c r="A963" s="76" t="n"/>
      <c r="B963" s="77" t="n"/>
      <c r="C963" s="78" t="n"/>
      <c r="E963" s="78" t="n"/>
      <c r="F963" s="78" t="n"/>
      <c r="G963" s="77" t="n"/>
      <c r="H963" s="77" t="n"/>
      <c r="I963" s="79" t="n"/>
      <c r="J963" s="110" t="n"/>
      <c r="K963" s="111" t="n"/>
      <c r="L963" s="112" t="n"/>
      <c r="M963" s="83" t="n"/>
      <c r="N963" s="84" t="n"/>
    </row>
    <row r="964" ht="15.75" customHeight="1">
      <c r="A964" s="76" t="n"/>
      <c r="B964" s="77" t="n"/>
      <c r="C964" s="78" t="n"/>
      <c r="E964" s="78" t="n"/>
      <c r="F964" s="78" t="n"/>
      <c r="G964" s="77" t="n"/>
      <c r="H964" s="77" t="n"/>
      <c r="I964" s="79" t="n"/>
      <c r="J964" s="110" t="n"/>
      <c r="K964" s="111" t="n"/>
      <c r="L964" s="112" t="n"/>
      <c r="M964" s="83" t="n"/>
      <c r="N964" s="84" t="n"/>
    </row>
    <row r="965" ht="15.75" customHeight="1">
      <c r="A965" s="76" t="n"/>
      <c r="B965" s="77" t="n"/>
      <c r="C965" s="78" t="n"/>
      <c r="E965" s="78" t="n"/>
      <c r="F965" s="78" t="n"/>
      <c r="G965" s="77" t="n"/>
      <c r="H965" s="77" t="n"/>
      <c r="I965" s="79" t="n"/>
      <c r="J965" s="110" t="n"/>
      <c r="K965" s="111" t="n"/>
      <c r="L965" s="112" t="n"/>
      <c r="M965" s="83" t="n"/>
      <c r="N965" s="84" t="n"/>
    </row>
    <row r="966" ht="15.75" customHeight="1">
      <c r="A966" s="76" t="n"/>
      <c r="B966" s="77" t="n"/>
      <c r="C966" s="78" t="n"/>
      <c r="E966" s="78" t="n"/>
      <c r="F966" s="78" t="n"/>
      <c r="G966" s="77" t="n"/>
      <c r="H966" s="77" t="n"/>
      <c r="I966" s="79" t="n"/>
      <c r="J966" s="110" t="n"/>
      <c r="K966" s="111" t="n"/>
      <c r="L966" s="112" t="n"/>
      <c r="M966" s="83" t="n"/>
      <c r="N966" s="84" t="n"/>
    </row>
    <row r="967" ht="15.75" customHeight="1">
      <c r="A967" s="76" t="n"/>
      <c r="B967" s="77" t="n"/>
      <c r="C967" s="78" t="n"/>
      <c r="E967" s="78" t="n"/>
      <c r="F967" s="78" t="n"/>
      <c r="G967" s="77" t="n"/>
      <c r="H967" s="77" t="n"/>
      <c r="I967" s="79" t="n"/>
      <c r="J967" s="110" t="n"/>
      <c r="K967" s="111" t="n"/>
      <c r="L967" s="112" t="n"/>
      <c r="M967" s="83" t="n"/>
      <c r="N967" s="84" t="n"/>
    </row>
    <row r="968" ht="15.75" customHeight="1">
      <c r="A968" s="76" t="n"/>
      <c r="B968" s="77" t="n"/>
      <c r="C968" s="78" t="n"/>
      <c r="E968" s="78" t="n"/>
      <c r="F968" s="78" t="n"/>
      <c r="G968" s="77" t="n"/>
      <c r="H968" s="77" t="n"/>
      <c r="I968" s="79" t="n"/>
      <c r="J968" s="110" t="n"/>
      <c r="K968" s="111" t="n"/>
      <c r="L968" s="112" t="n"/>
      <c r="M968" s="83" t="n"/>
      <c r="N968" s="84" t="n"/>
    </row>
    <row r="969" ht="15.75" customHeight="1">
      <c r="A969" s="76" t="n"/>
      <c r="B969" s="77" t="n"/>
      <c r="C969" s="78" t="n"/>
      <c r="E969" s="78" t="n"/>
      <c r="F969" s="78" t="n"/>
      <c r="G969" s="77" t="n"/>
      <c r="H969" s="77" t="n"/>
      <c r="I969" s="79" t="n"/>
      <c r="J969" s="110" t="n"/>
      <c r="K969" s="111" t="n"/>
      <c r="L969" s="112" t="n"/>
      <c r="M969" s="83" t="n"/>
      <c r="N969" s="84" t="n"/>
    </row>
    <row r="970" ht="15.75" customHeight="1">
      <c r="A970" s="76" t="n"/>
      <c r="B970" s="77" t="n"/>
      <c r="C970" s="78" t="n"/>
      <c r="E970" s="78" t="n"/>
      <c r="F970" s="78" t="n"/>
      <c r="G970" s="77" t="n"/>
      <c r="H970" s="77" t="n"/>
      <c r="I970" s="79" t="n"/>
      <c r="J970" s="110" t="n"/>
      <c r="K970" s="111" t="n"/>
      <c r="L970" s="112" t="n"/>
      <c r="M970" s="83" t="n"/>
      <c r="N970" s="84" t="n"/>
    </row>
    <row r="971" ht="15.75" customHeight="1">
      <c r="A971" s="76" t="n"/>
      <c r="B971" s="77" t="n"/>
      <c r="C971" s="78" t="n"/>
      <c r="E971" s="78" t="n"/>
      <c r="F971" s="78" t="n"/>
      <c r="G971" s="77" t="n"/>
      <c r="H971" s="77" t="n"/>
      <c r="I971" s="79" t="n"/>
      <c r="J971" s="110" t="n"/>
      <c r="K971" s="111" t="n"/>
      <c r="L971" s="112" t="n"/>
      <c r="M971" s="83" t="n"/>
      <c r="N971" s="84" t="n"/>
    </row>
    <row r="972" ht="15.75" customHeight="1">
      <c r="A972" s="76" t="n"/>
      <c r="B972" s="77" t="n"/>
      <c r="C972" s="78" t="n"/>
      <c r="E972" s="78" t="n"/>
      <c r="F972" s="78" t="n"/>
      <c r="G972" s="77" t="n"/>
      <c r="H972" s="77" t="n"/>
      <c r="I972" s="79" t="n"/>
      <c r="J972" s="110" t="n"/>
      <c r="K972" s="111" t="n"/>
      <c r="L972" s="112" t="n"/>
      <c r="M972" s="83" t="n"/>
      <c r="N972" s="84" t="n"/>
    </row>
    <row r="973" ht="15.75" customHeight="1">
      <c r="A973" s="76" t="n"/>
      <c r="B973" s="77" t="n"/>
      <c r="C973" s="78" t="n"/>
      <c r="E973" s="78" t="n"/>
      <c r="F973" s="78" t="n"/>
      <c r="G973" s="77" t="n"/>
      <c r="H973" s="77" t="n"/>
      <c r="I973" s="79" t="n"/>
      <c r="J973" s="110" t="n"/>
      <c r="K973" s="111" t="n"/>
      <c r="L973" s="112" t="n"/>
      <c r="M973" s="83" t="n"/>
      <c r="N973" s="84" t="n"/>
    </row>
    <row r="974" ht="15.75" customHeight="1">
      <c r="A974" s="76" t="n"/>
      <c r="B974" s="77" t="n"/>
      <c r="C974" s="78" t="n"/>
      <c r="E974" s="78" t="n"/>
      <c r="F974" s="78" t="n"/>
      <c r="G974" s="77" t="n"/>
      <c r="H974" s="77" t="n"/>
      <c r="I974" s="79" t="n"/>
      <c r="J974" s="110" t="n"/>
      <c r="K974" s="111" t="n"/>
      <c r="L974" s="112" t="n"/>
      <c r="M974" s="83" t="n"/>
      <c r="N974" s="84" t="n"/>
    </row>
    <row r="975" ht="15.75" customHeight="1">
      <c r="A975" s="76" t="n"/>
      <c r="B975" s="77" t="n"/>
      <c r="C975" s="78" t="n"/>
      <c r="E975" s="78" t="n"/>
      <c r="F975" s="78" t="n"/>
      <c r="G975" s="77" t="n"/>
      <c r="H975" s="77" t="n"/>
      <c r="I975" s="79" t="n"/>
      <c r="J975" s="110" t="n"/>
      <c r="K975" s="111" t="n"/>
      <c r="L975" s="112" t="n"/>
      <c r="M975" s="83" t="n"/>
      <c r="N975" s="84" t="n"/>
    </row>
    <row r="976" ht="15.75" customHeight="1">
      <c r="A976" s="76" t="n"/>
      <c r="B976" s="77" t="n"/>
      <c r="C976" s="78" t="n"/>
      <c r="E976" s="78" t="n"/>
      <c r="F976" s="78" t="n"/>
      <c r="G976" s="77" t="n"/>
      <c r="H976" s="77" t="n"/>
      <c r="I976" s="79" t="n"/>
      <c r="J976" s="110" t="n"/>
      <c r="K976" s="111" t="n"/>
      <c r="L976" s="112" t="n"/>
      <c r="M976" s="83" t="n"/>
      <c r="N976" s="84" t="n"/>
    </row>
    <row r="977" ht="15.75" customHeight="1">
      <c r="A977" s="76" t="n"/>
      <c r="B977" s="77" t="n"/>
      <c r="C977" s="78" t="n"/>
      <c r="E977" s="78" t="n"/>
      <c r="F977" s="78" t="n"/>
      <c r="G977" s="77" t="n"/>
      <c r="H977" s="77" t="n"/>
      <c r="I977" s="79" t="n"/>
      <c r="J977" s="110" t="n"/>
      <c r="K977" s="111" t="n"/>
      <c r="L977" s="112" t="n"/>
      <c r="M977" s="83" t="n"/>
      <c r="N977" s="84" t="n"/>
    </row>
    <row r="978" ht="15.75" customHeight="1">
      <c r="A978" s="76" t="n"/>
      <c r="B978" s="77" t="n"/>
      <c r="C978" s="78" t="n"/>
      <c r="E978" s="78" t="n"/>
      <c r="F978" s="78" t="n"/>
      <c r="G978" s="77" t="n"/>
      <c r="H978" s="77" t="n"/>
      <c r="I978" s="79" t="n"/>
      <c r="J978" s="110" t="n"/>
      <c r="K978" s="111" t="n"/>
      <c r="L978" s="112" t="n"/>
      <c r="M978" s="83" t="n"/>
      <c r="N978" s="84" t="n"/>
    </row>
    <row r="979" ht="15.75" customHeight="1">
      <c r="A979" s="76" t="n"/>
      <c r="B979" s="77" t="n"/>
      <c r="C979" s="78" t="n"/>
      <c r="E979" s="78" t="n"/>
      <c r="F979" s="78" t="n"/>
      <c r="G979" s="77" t="n"/>
      <c r="H979" s="77" t="n"/>
      <c r="I979" s="79" t="n"/>
      <c r="J979" s="110" t="n"/>
      <c r="K979" s="111" t="n"/>
      <c r="L979" s="112" t="n"/>
      <c r="M979" s="83" t="n"/>
      <c r="N979" s="84" t="n"/>
    </row>
    <row r="980" ht="15.75" customHeight="1">
      <c r="A980" s="76" t="n"/>
      <c r="B980" s="77" t="n"/>
      <c r="C980" s="78" t="n"/>
      <c r="E980" s="78" t="n"/>
      <c r="F980" s="78" t="n"/>
      <c r="G980" s="77" t="n"/>
      <c r="H980" s="77" t="n"/>
      <c r="I980" s="79" t="n"/>
      <c r="J980" s="110" t="n"/>
      <c r="K980" s="111" t="n"/>
      <c r="L980" s="112" t="n"/>
      <c r="M980" s="83" t="n"/>
      <c r="N980" s="84" t="n"/>
    </row>
    <row r="981" ht="15.75" customHeight="1">
      <c r="A981" s="76" t="n"/>
      <c r="B981" s="77" t="n"/>
      <c r="C981" s="78" t="n"/>
      <c r="E981" s="78" t="n"/>
      <c r="F981" s="78" t="n"/>
      <c r="G981" s="77" t="n"/>
      <c r="H981" s="77" t="n"/>
      <c r="I981" s="79" t="n"/>
      <c r="J981" s="110" t="n"/>
      <c r="K981" s="111" t="n"/>
      <c r="L981" s="112" t="n"/>
      <c r="M981" s="83" t="n"/>
      <c r="N981" s="84" t="n"/>
    </row>
    <row r="982" ht="15.75" customHeight="1">
      <c r="A982" s="76" t="n"/>
      <c r="B982" s="77" t="n"/>
      <c r="C982" s="78" t="n"/>
      <c r="E982" s="78" t="n"/>
      <c r="F982" s="78" t="n"/>
      <c r="G982" s="77" t="n"/>
      <c r="H982" s="77" t="n"/>
      <c r="I982" s="79" t="n"/>
      <c r="J982" s="110" t="n"/>
      <c r="K982" s="111" t="n"/>
      <c r="L982" s="112" t="n"/>
      <c r="M982" s="83" t="n"/>
      <c r="N982" s="84" t="n"/>
    </row>
    <row r="983" ht="15.75" customHeight="1">
      <c r="A983" s="76" t="n"/>
      <c r="B983" s="77" t="n"/>
      <c r="C983" s="78" t="n"/>
      <c r="E983" s="78" t="n"/>
      <c r="F983" s="78" t="n"/>
      <c r="G983" s="77" t="n"/>
      <c r="H983" s="77" t="n"/>
      <c r="I983" s="79" t="n"/>
      <c r="J983" s="110" t="n"/>
      <c r="K983" s="111" t="n"/>
      <c r="L983" s="112" t="n"/>
      <c r="M983" s="83" t="n"/>
      <c r="N983" s="84" t="n"/>
    </row>
    <row r="984" ht="15.75" customHeight="1">
      <c r="A984" s="76" t="n"/>
      <c r="B984" s="77" t="n"/>
      <c r="C984" s="78" t="n"/>
      <c r="E984" s="78" t="n"/>
      <c r="F984" s="78" t="n"/>
      <c r="G984" s="77" t="n"/>
      <c r="H984" s="77" t="n"/>
      <c r="I984" s="79" t="n"/>
      <c r="J984" s="110" t="n"/>
      <c r="K984" s="111" t="n"/>
      <c r="L984" s="112" t="n"/>
      <c r="M984" s="83" t="n"/>
      <c r="N984" s="84" t="n"/>
    </row>
    <row r="985" ht="15.75" customHeight="1">
      <c r="A985" s="76" t="n"/>
      <c r="B985" s="77" t="n"/>
      <c r="C985" s="78" t="n"/>
      <c r="E985" s="78" t="n"/>
      <c r="F985" s="78" t="n"/>
      <c r="G985" s="77" t="n"/>
      <c r="H985" s="77" t="n"/>
      <c r="I985" s="79" t="n"/>
      <c r="J985" s="110" t="n"/>
      <c r="K985" s="111" t="n"/>
      <c r="L985" s="112" t="n"/>
      <c r="M985" s="83" t="n"/>
      <c r="N985" s="84" t="n"/>
    </row>
    <row r="986" ht="15.75" customHeight="1">
      <c r="A986" s="76" t="n"/>
      <c r="B986" s="77" t="n"/>
      <c r="C986" s="78" t="n"/>
      <c r="E986" s="78" t="n"/>
      <c r="F986" s="78" t="n"/>
      <c r="G986" s="77" t="n"/>
      <c r="H986" s="77" t="n"/>
      <c r="I986" s="79" t="n"/>
      <c r="J986" s="110" t="n"/>
      <c r="K986" s="111" t="n"/>
      <c r="L986" s="112" t="n"/>
      <c r="M986" s="83" t="n"/>
      <c r="N986" s="84" t="n"/>
    </row>
    <row r="987" ht="15.75" customHeight="1">
      <c r="A987" s="76" t="n"/>
      <c r="B987" s="77" t="n"/>
      <c r="C987" s="78" t="n"/>
      <c r="E987" s="78" t="n"/>
      <c r="F987" s="78" t="n"/>
      <c r="G987" s="77" t="n"/>
      <c r="H987" s="77" t="n"/>
      <c r="I987" s="79" t="n"/>
      <c r="J987" s="110" t="n"/>
      <c r="K987" s="111" t="n"/>
      <c r="L987" s="112" t="n"/>
      <c r="M987" s="83" t="n"/>
      <c r="N987" s="84" t="n"/>
    </row>
    <row r="988" ht="15.75" customHeight="1">
      <c r="A988" s="76" t="n"/>
      <c r="B988" s="77" t="n"/>
      <c r="C988" s="78" t="n"/>
      <c r="E988" s="78" t="n"/>
      <c r="F988" s="78" t="n"/>
      <c r="G988" s="77" t="n"/>
      <c r="H988" s="77" t="n"/>
      <c r="I988" s="79" t="n"/>
      <c r="J988" s="110" t="n"/>
      <c r="K988" s="111" t="n"/>
      <c r="L988" s="112" t="n"/>
      <c r="M988" s="83" t="n"/>
      <c r="N988" s="84" t="n"/>
    </row>
    <row r="989" ht="15.75" customHeight="1">
      <c r="A989" s="76" t="n"/>
      <c r="B989" s="77" t="n"/>
      <c r="C989" s="78" t="n"/>
      <c r="E989" s="78" t="n"/>
      <c r="F989" s="78" t="n"/>
      <c r="G989" s="77" t="n"/>
      <c r="H989" s="77" t="n"/>
      <c r="I989" s="79" t="n"/>
      <c r="J989" s="110" t="n"/>
      <c r="K989" s="111" t="n"/>
      <c r="L989" s="112" t="n"/>
      <c r="M989" s="83" t="n"/>
      <c r="N989" s="84" t="n"/>
    </row>
    <row r="990" ht="15.75" customHeight="1">
      <c r="A990" s="76" t="n"/>
      <c r="B990" s="77" t="n"/>
      <c r="C990" s="78" t="n"/>
      <c r="E990" s="78" t="n"/>
      <c r="F990" s="78" t="n"/>
      <c r="G990" s="77" t="n"/>
      <c r="H990" s="77" t="n"/>
      <c r="I990" s="79" t="n"/>
      <c r="J990" s="110" t="n"/>
      <c r="K990" s="111" t="n"/>
      <c r="L990" s="112" t="n"/>
      <c r="M990" s="83" t="n"/>
      <c r="N990" s="84" t="n"/>
    </row>
    <row r="991" ht="15.75" customHeight="1">
      <c r="A991" s="76" t="n"/>
      <c r="B991" s="77" t="n"/>
      <c r="C991" s="78" t="n"/>
      <c r="E991" s="78" t="n"/>
      <c r="F991" s="78" t="n"/>
      <c r="G991" s="77" t="n"/>
      <c r="H991" s="77" t="n"/>
      <c r="I991" s="79" t="n"/>
      <c r="J991" s="110" t="n"/>
      <c r="K991" s="111" t="n"/>
      <c r="L991" s="112" t="n"/>
      <c r="M991" s="83" t="n"/>
      <c r="N991" s="84" t="n"/>
    </row>
    <row r="992" ht="15.75" customHeight="1">
      <c r="A992" s="76" t="n"/>
      <c r="B992" s="77" t="n"/>
      <c r="C992" s="78" t="n"/>
      <c r="E992" s="78" t="n"/>
      <c r="F992" s="78" t="n"/>
      <c r="G992" s="77" t="n"/>
      <c r="H992" s="77" t="n"/>
      <c r="I992" s="79" t="n"/>
      <c r="J992" s="110" t="n"/>
      <c r="K992" s="111" t="n"/>
      <c r="L992" s="112" t="n"/>
      <c r="M992" s="83" t="n"/>
      <c r="N992" s="84" t="n"/>
    </row>
    <row r="993" ht="15.75" customHeight="1">
      <c r="A993" s="76" t="n"/>
      <c r="B993" s="77" t="n"/>
      <c r="C993" s="78" t="n"/>
      <c r="E993" s="78" t="n"/>
      <c r="F993" s="78" t="n"/>
      <c r="G993" s="77" t="n"/>
      <c r="H993" s="77" t="n"/>
      <c r="I993" s="79" t="n"/>
      <c r="J993" s="110" t="n"/>
      <c r="K993" s="111" t="n"/>
      <c r="L993" s="112" t="n"/>
      <c r="M993" s="83" t="n"/>
      <c r="N993" s="84" t="n"/>
    </row>
    <row r="994" ht="15.75" customHeight="1">
      <c r="A994" s="76" t="n"/>
      <c r="B994" s="77" t="n"/>
      <c r="C994" s="78" t="n"/>
      <c r="E994" s="78" t="n"/>
      <c r="F994" s="78" t="n"/>
      <c r="G994" s="77" t="n"/>
      <c r="H994" s="77" t="n"/>
      <c r="I994" s="79" t="n"/>
      <c r="J994" s="110" t="n"/>
      <c r="K994" s="111" t="n"/>
      <c r="L994" s="112" t="n"/>
      <c r="M994" s="83" t="n"/>
      <c r="N994" s="84" t="n"/>
    </row>
    <row r="995" ht="15.75" customHeight="1">
      <c r="A995" s="76" t="n"/>
      <c r="B995" s="77" t="n"/>
      <c r="C995" s="78" t="n"/>
      <c r="E995" s="78" t="n"/>
      <c r="F995" s="78" t="n"/>
      <c r="G995" s="77" t="n"/>
      <c r="H995" s="77" t="n"/>
      <c r="I995" s="79" t="n"/>
      <c r="J995" s="110" t="n"/>
      <c r="K995" s="111" t="n"/>
      <c r="L995" s="112" t="n"/>
      <c r="M995" s="83" t="n"/>
      <c r="N995" s="84" t="n"/>
    </row>
    <row r="996" ht="15.75" customHeight="1">
      <c r="A996" s="76" t="n"/>
      <c r="B996" s="77" t="n"/>
      <c r="C996" s="78" t="n"/>
      <c r="E996" s="78" t="n"/>
      <c r="F996" s="78" t="n"/>
      <c r="G996" s="77" t="n"/>
      <c r="H996" s="77" t="n"/>
      <c r="I996" s="79" t="n"/>
      <c r="J996" s="110" t="n"/>
      <c r="K996" s="111" t="n"/>
      <c r="L996" s="112" t="n"/>
      <c r="M996" s="83" t="n"/>
      <c r="N996" s="84" t="n"/>
    </row>
    <row r="997" ht="15.75" customHeight="1">
      <c r="A997" s="76" t="n"/>
      <c r="B997" s="77" t="n"/>
      <c r="C997" s="78" t="n"/>
      <c r="E997" s="78" t="n"/>
      <c r="F997" s="78" t="n"/>
      <c r="G997" s="77" t="n"/>
      <c r="H997" s="77" t="n"/>
      <c r="I997" s="79" t="n"/>
      <c r="J997" s="110" t="n"/>
      <c r="K997" s="111" t="n"/>
      <c r="L997" s="112" t="n"/>
      <c r="M997" s="83" t="n"/>
      <c r="N997" s="84" t="n"/>
    </row>
    <row r="998" ht="15.75" customHeight="1">
      <c r="A998" s="76" t="n"/>
      <c r="B998" s="77" t="n"/>
      <c r="C998" s="78" t="n"/>
      <c r="E998" s="78" t="n"/>
      <c r="F998" s="78" t="n"/>
      <c r="G998" s="77" t="n"/>
      <c r="H998" s="77" t="n"/>
      <c r="I998" s="79" t="n"/>
      <c r="J998" s="110" t="n"/>
      <c r="K998" s="111" t="n"/>
      <c r="L998" s="112" t="n"/>
      <c r="M998" s="83" t="n"/>
      <c r="N998" s="84" t="n"/>
    </row>
    <row r="999" ht="15.75" customHeight="1">
      <c r="A999" s="76" t="n"/>
      <c r="B999" s="77" t="n"/>
      <c r="C999" s="78" t="n"/>
      <c r="E999" s="78" t="n"/>
      <c r="F999" s="78" t="n"/>
      <c r="G999" s="77" t="n"/>
      <c r="H999" s="77" t="n"/>
      <c r="I999" s="79" t="n"/>
      <c r="J999" s="110" t="n"/>
      <c r="K999" s="111" t="n"/>
      <c r="L999" s="112" t="n"/>
      <c r="M999" s="83" t="n"/>
      <c r="N999" s="84" t="n"/>
    </row>
    <row r="1000" ht="15.75" customHeight="1">
      <c r="A1000" s="76" t="n"/>
      <c r="B1000" s="77" t="n"/>
      <c r="C1000" s="78" t="n"/>
      <c r="E1000" s="78" t="n"/>
      <c r="F1000" s="78" t="n"/>
      <c r="G1000" s="77" t="n"/>
      <c r="H1000" s="77" t="n"/>
      <c r="I1000" s="79" t="n"/>
      <c r="J1000" s="110" t="n"/>
      <c r="K1000" s="111" t="n"/>
      <c r="L1000" s="112" t="n"/>
      <c r="M1000" s="83" t="n"/>
      <c r="N1000" s="84" t="n"/>
    </row>
    <row r="1001" ht="15.75" customHeight="1">
      <c r="A1001" s="76" t="n"/>
      <c r="B1001" s="77" t="n"/>
      <c r="C1001" s="78" t="n"/>
      <c r="E1001" s="78" t="n"/>
      <c r="F1001" s="78" t="n"/>
      <c r="G1001" s="77" t="n"/>
      <c r="H1001" s="77" t="n"/>
      <c r="I1001" s="79" t="n"/>
      <c r="J1001" s="110" t="n"/>
      <c r="K1001" s="111" t="n"/>
      <c r="L1001" s="112" t="n"/>
      <c r="M1001" s="83" t="n"/>
      <c r="N1001" s="84" t="n"/>
    </row>
    <row r="1002" ht="15.75" customHeight="1">
      <c r="A1002" s="76" t="n"/>
      <c r="B1002" s="77" t="n"/>
      <c r="C1002" s="78" t="n"/>
      <c r="E1002" s="78" t="n"/>
      <c r="F1002" s="78" t="n"/>
      <c r="G1002" s="77" t="n"/>
      <c r="H1002" s="77" t="n"/>
      <c r="I1002" s="79" t="n"/>
      <c r="J1002" s="110" t="n"/>
      <c r="K1002" s="111" t="n"/>
      <c r="L1002" s="112" t="n"/>
      <c r="M1002" s="83" t="n"/>
      <c r="N1002" s="84" t="n"/>
    </row>
  </sheetData>
  <conditionalFormatting sqref="D1:D1002">
    <cfRule type="containsText" priority="1" operator="containsText" dxfId="0" text="tequila">
      <formula>NOT(ISERROR(SEARCH(("tequila"),(D1))))</formula>
    </cfRule>
  </conditionalFormatting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5:H123"/>
  <sheetViews>
    <sheetView tabSelected="1" topLeftCell="A10" zoomScale="85" zoomScaleNormal="85" workbookViewId="0">
      <selection activeCell="A11" sqref="A11:H90"/>
    </sheetView>
  </sheetViews>
  <sheetFormatPr baseColWidth="8" defaultRowHeight="12.5"/>
  <cols>
    <col width="62.54296875" customWidth="1" min="1" max="1"/>
    <col width="21.26953125" customWidth="1" min="2" max="2"/>
    <col width="12.453125" customWidth="1" min="3" max="3"/>
    <col width="10.7265625" customWidth="1" min="5" max="5"/>
    <col width="10.54296875" customWidth="1" min="6" max="6"/>
    <col width="12.453125" customWidth="1" min="8" max="8"/>
    <col width="19.453125" customWidth="1" min="10" max="10"/>
  </cols>
  <sheetData>
    <row r="5">
      <c r="A5" s="1" t="n"/>
    </row>
    <row r="11">
      <c r="A11" s="15" t="inlineStr">
        <is>
          <t>Bubbles</t>
        </is>
      </c>
      <c r="B11" s="16" t="inlineStr">
        <is>
          <t>Region</t>
        </is>
      </c>
      <c r="C11" s="16" t="inlineStr">
        <is>
          <t>Single Price</t>
        </is>
      </c>
      <c r="D11" s="15" t="inlineStr">
        <is>
          <t>Oz Cost</t>
        </is>
      </c>
      <c r="E11" s="15" t="inlineStr">
        <is>
          <t>Glass Cost</t>
        </is>
      </c>
      <c r="F11" s="15" t="inlineStr">
        <is>
          <t>8oz</t>
        </is>
      </c>
      <c r="G11" s="15" t="inlineStr">
        <is>
          <t>Bottle Cost</t>
        </is>
      </c>
      <c r="H11" s="15" t="inlineStr">
        <is>
          <t>2.5x</t>
        </is>
      </c>
    </row>
    <row r="12">
      <c r="A12" s="3" t="inlineStr">
        <is>
          <t xml:space="preserve">Dom Perignon </t>
        </is>
      </c>
      <c r="B12" s="113" t="inlineStr">
        <is>
          <t>Champagne, FR</t>
        </is>
      </c>
      <c r="C12" s="114" t="n">
        <v>227.4</v>
      </c>
      <c r="D12" s="114">
        <f>(C12/25)*1.13</f>
        <v/>
      </c>
      <c r="G12" s="115">
        <f>C12*1.13</f>
        <v/>
      </c>
      <c r="H12" s="115">
        <f>G12*2.5</f>
        <v/>
      </c>
    </row>
    <row r="13">
      <c r="A13" s="3" t="inlineStr">
        <is>
          <t xml:space="preserve">Laurent Perrier Brut Rose </t>
        </is>
      </c>
      <c r="B13" s="113" t="inlineStr">
        <is>
          <t>Champagne, FR</t>
        </is>
      </c>
      <c r="C13" s="114" t="n">
        <v>77.36</v>
      </c>
      <c r="D13" s="114">
        <f>(C13/25)*1.13</f>
        <v/>
      </c>
      <c r="G13" s="115">
        <f>C13*1.13</f>
        <v/>
      </c>
      <c r="H13" s="115">
        <f>G13*2</f>
        <v/>
      </c>
    </row>
    <row r="14">
      <c r="A14" s="3" t="inlineStr">
        <is>
          <t xml:space="preserve">Veuve Clicquot </t>
        </is>
      </c>
      <c r="B14" s="113" t="inlineStr">
        <is>
          <t>Champagne, FR</t>
        </is>
      </c>
      <c r="C14" s="114" t="n">
        <v>60.91</v>
      </c>
      <c r="D14" s="114">
        <f>(C14/25)*1.13</f>
        <v/>
      </c>
      <c r="G14" s="115">
        <f>C14*1.13</f>
        <v/>
      </c>
      <c r="H14" s="115">
        <f>G14*2</f>
        <v/>
      </c>
    </row>
    <row r="15">
      <c r="A15" s="3" t="inlineStr">
        <is>
          <t xml:space="preserve">Piper Heidsieck Brut  </t>
        </is>
      </c>
      <c r="B15" s="113" t="inlineStr">
        <is>
          <t>Champagne, FR</t>
        </is>
      </c>
      <c r="C15" s="114" t="n">
        <v>55.47</v>
      </c>
      <c r="D15" s="114">
        <f>(C15/25)*1.13</f>
        <v/>
      </c>
      <c r="G15" s="115">
        <f>C15*1.13</f>
        <v/>
      </c>
      <c r="H15" s="115">
        <f>G15*2</f>
        <v/>
      </c>
    </row>
    <row r="16">
      <c r="A16" s="3" t="inlineStr">
        <is>
          <t xml:space="preserve">Canard Duchene Blanc de Blanc </t>
        </is>
      </c>
      <c r="B16" s="113" t="inlineStr">
        <is>
          <t>Champagne, FR</t>
        </is>
      </c>
      <c r="C16" s="114" t="n">
        <v>55.47</v>
      </c>
      <c r="D16" s="114">
        <f>(C16/25)*1.13</f>
        <v/>
      </c>
      <c r="G16" s="115">
        <f>C16*1.13</f>
        <v/>
      </c>
      <c r="H16" s="115">
        <f>G16*2</f>
        <v/>
      </c>
    </row>
    <row r="17">
      <c r="A17" s="3" t="inlineStr">
        <is>
          <t>Taittinger Brut 375ml</t>
        </is>
      </c>
      <c r="B17" s="113" t="inlineStr">
        <is>
          <t>Champagne, FR</t>
        </is>
      </c>
      <c r="C17" s="114" t="n">
        <v>20.85</v>
      </c>
      <c r="D17" s="114">
        <f>(C17/25)*1.13</f>
        <v/>
      </c>
      <c r="G17" s="115">
        <f>C17*1.13</f>
        <v/>
      </c>
      <c r="H17" s="115">
        <f>G17*2</f>
        <v/>
      </c>
    </row>
    <row r="18">
      <c r="A18" s="3" t="inlineStr">
        <is>
          <t xml:space="preserve">Domaine Carneros Brut Sparkling </t>
        </is>
      </c>
      <c r="B18" s="113" t="inlineStr">
        <is>
          <t>Carneros, CA</t>
        </is>
      </c>
      <c r="C18" s="114" t="n">
        <v>33.64</v>
      </c>
      <c r="D18" s="114">
        <f>(C18/25)*1.13</f>
        <v/>
      </c>
      <c r="G18" s="115">
        <f>C18*1.13</f>
        <v/>
      </c>
      <c r="H18" s="115">
        <f>G18*2</f>
        <v/>
      </c>
    </row>
    <row r="19">
      <c r="A19" s="3" t="inlineStr">
        <is>
          <t xml:space="preserve">Chandon Blanc De Noir </t>
        </is>
      </c>
      <c r="B19" s="113" t="inlineStr">
        <is>
          <t>California</t>
        </is>
      </c>
      <c r="C19" s="114" t="n">
        <v>20.56</v>
      </c>
      <c r="D19" s="114">
        <f>(C19/25)*1.13</f>
        <v/>
      </c>
      <c r="G19" s="115">
        <f>C19*1.13</f>
        <v/>
      </c>
      <c r="H19" s="115">
        <f>G19*2</f>
        <v/>
      </c>
    </row>
    <row r="20">
      <c r="A20" s="3" t="inlineStr">
        <is>
          <t>Alta Vista Brut Rose of Malbec</t>
        </is>
      </c>
      <c r="B20" s="113" t="inlineStr">
        <is>
          <t>Mendoza, AR</t>
        </is>
      </c>
      <c r="C20" s="114" t="n">
        <v>14.58</v>
      </c>
      <c r="D20" s="114">
        <f>(C20/25)*1.13</f>
        <v/>
      </c>
      <c r="E20" s="114">
        <f>D20*8</f>
        <v/>
      </c>
      <c r="F20" s="115">
        <f>E20*3</f>
        <v/>
      </c>
      <c r="G20" s="115">
        <f>C20*1.13</f>
        <v/>
      </c>
      <c r="H20" s="115">
        <f>G20*2</f>
        <v/>
      </c>
    </row>
    <row r="21">
      <c r="A21" s="3" t="inlineStr">
        <is>
          <t>Avissi Prosecco</t>
        </is>
      </c>
      <c r="B21" s="113" t="inlineStr">
        <is>
          <t>Italy</t>
        </is>
      </c>
      <c r="C21" s="114" t="n">
        <v>13.84</v>
      </c>
      <c r="D21" s="114">
        <f>(C21/25)*1.13</f>
        <v/>
      </c>
      <c r="E21" s="114">
        <f>D21*8</f>
        <v/>
      </c>
      <c r="F21" s="115">
        <f>E21*3</f>
        <v/>
      </c>
      <c r="G21" s="115">
        <f>C21*1.13</f>
        <v/>
      </c>
      <c r="H21" s="115">
        <f>G21*2</f>
        <v/>
      </c>
    </row>
    <row r="22">
      <c r="A22" s="3" t="n"/>
      <c r="B22" s="113" t="n"/>
      <c r="C22" s="114" t="n"/>
      <c r="F22" s="115" t="n"/>
      <c r="H22" s="114" t="n"/>
    </row>
    <row r="23">
      <c r="A23" s="15" t="inlineStr">
        <is>
          <t>Cabernet Sauvignon</t>
        </is>
      </c>
      <c r="B23" s="114" t="n"/>
      <c r="C23" s="114" t="n"/>
      <c r="F23" s="115" t="n"/>
      <c r="H23" s="114" t="n"/>
    </row>
    <row r="24">
      <c r="A24" s="3" t="inlineStr">
        <is>
          <t>O'Shaughnessy Cabernet Sauvignon</t>
        </is>
      </c>
      <c r="B24" s="113" t="inlineStr">
        <is>
          <t>Howell Mountain, CA</t>
        </is>
      </c>
      <c r="C24" s="114" t="n">
        <v>88.56999999999999</v>
      </c>
      <c r="D24" s="114">
        <f>(C24/25)*1.13</f>
        <v/>
      </c>
      <c r="F24" s="115" t="n"/>
      <c r="G24" s="115">
        <f>C24*1.13</f>
        <v/>
      </c>
      <c r="H24" s="115">
        <f>G24*2</f>
        <v/>
      </c>
    </row>
    <row r="25">
      <c r="A25" s="3" t="inlineStr">
        <is>
          <t>Silver Oak Cabernet Sauvignon</t>
        </is>
      </c>
      <c r="B25" s="113" t="inlineStr">
        <is>
          <t>Alexander Valley, CA</t>
        </is>
      </c>
      <c r="C25" s="114" t="n">
        <v>79.98999999999999</v>
      </c>
      <c r="D25" s="114">
        <f>(C25/25)*1.13</f>
        <v/>
      </c>
      <c r="F25" s="115" t="n"/>
      <c r="G25" s="115">
        <f>C25*1.13</f>
        <v/>
      </c>
      <c r="H25" s="115">
        <f>G25*2</f>
        <v/>
      </c>
    </row>
    <row r="26">
      <c r="A26" s="3" t="inlineStr">
        <is>
          <t>Chappellet Cabernet Sauvignon</t>
        </is>
      </c>
      <c r="B26" s="113" t="inlineStr">
        <is>
          <t>Napa Valley, CA</t>
        </is>
      </c>
      <c r="C26" s="114" t="n">
        <v>69.89</v>
      </c>
      <c r="D26" s="114">
        <f>(C26/25)*1.13</f>
        <v/>
      </c>
      <c r="F26" s="115" t="n"/>
      <c r="G26" s="115">
        <f>C26*1.13</f>
        <v/>
      </c>
      <c r="H26" s="115">
        <f>G26*2</f>
        <v/>
      </c>
    </row>
    <row r="27">
      <c r="A27" s="3" t="inlineStr">
        <is>
          <t>Sequioa Grove Cabernet Sauvignon</t>
        </is>
      </c>
      <c r="B27" s="113" t="inlineStr">
        <is>
          <t>Napa Valley, CA</t>
        </is>
      </c>
      <c r="C27" s="114" t="n">
        <v>44.57</v>
      </c>
      <c r="D27" s="114">
        <f>(C27/25)*1.13</f>
        <v/>
      </c>
      <c r="F27" s="115" t="n"/>
      <c r="G27" s="115">
        <f>C27*1.13</f>
        <v/>
      </c>
      <c r="H27" s="115">
        <f>G27*2</f>
        <v/>
      </c>
    </row>
    <row r="28">
      <c r="A28" s="3" t="inlineStr">
        <is>
          <t>Hess Allomi Cabernet Sauvignon</t>
        </is>
      </c>
      <c r="B28" s="113" t="inlineStr">
        <is>
          <t>Napa Valley, CA</t>
        </is>
      </c>
      <c r="C28" s="114" t="n">
        <v>31.47</v>
      </c>
      <c r="D28" s="114">
        <f>(C28/25)*1.13</f>
        <v/>
      </c>
      <c r="F28" s="115" t="n"/>
      <c r="G28" s="115">
        <f>C28*1.13</f>
        <v/>
      </c>
      <c r="H28" s="115">
        <f>G28*2</f>
        <v/>
      </c>
    </row>
    <row r="29">
      <c r="A29" s="3" t="inlineStr">
        <is>
          <t>Montes Purple Angel Carmenere</t>
        </is>
      </c>
      <c r="B29" s="113" t="inlineStr">
        <is>
          <t>Colchagua, CHL</t>
        </is>
      </c>
      <c r="C29" s="114" t="n">
        <v>95.69</v>
      </c>
      <c r="D29" s="114">
        <f>(C29/25)*1.13</f>
        <v/>
      </c>
      <c r="F29" s="115" t="n"/>
      <c r="G29" s="115">
        <f>C29*1.13</f>
        <v/>
      </c>
      <c r="H29" s="115">
        <f>G29*2</f>
        <v/>
      </c>
    </row>
    <row r="30">
      <c r="A30" s="3" t="inlineStr">
        <is>
          <t>Lapostolle Cuvee Alexandre Carmenere</t>
        </is>
      </c>
      <c r="B30" s="113" t="inlineStr">
        <is>
          <t>Colchagua, CHL</t>
        </is>
      </c>
      <c r="C30" s="114" t="n">
        <v>26.71</v>
      </c>
      <c r="D30" s="114">
        <f>(C30/25)*1.13</f>
        <v/>
      </c>
      <c r="F30" s="115" t="n"/>
      <c r="G30" s="115">
        <f>C30*1.13</f>
        <v/>
      </c>
      <c r="H30" s="115">
        <f>G30*2</f>
        <v/>
      </c>
    </row>
    <row r="31">
      <c r="A31" s="3" t="inlineStr">
        <is>
          <t xml:space="preserve">Alexander Valley Vineyards Cabernet Sauvignon </t>
        </is>
      </c>
      <c r="B31" s="113" t="inlineStr">
        <is>
          <t>Alexander Valley, CA</t>
        </is>
      </c>
      <c r="C31" s="114" t="n">
        <v>17.04</v>
      </c>
      <c r="D31" s="114">
        <f>(C31/25)*1.13</f>
        <v/>
      </c>
      <c r="E31" s="114">
        <f>D31*8</f>
        <v/>
      </c>
      <c r="F31" s="115" t="n">
        <v>20</v>
      </c>
      <c r="G31" s="115">
        <f>C31*1.13</f>
        <v/>
      </c>
      <c r="H31" s="115">
        <f>G31*2</f>
        <v/>
      </c>
    </row>
    <row r="32">
      <c r="A32" s="3" t="inlineStr">
        <is>
          <t xml:space="preserve">J Lohr Cabernet Sauvignon  </t>
        </is>
      </c>
      <c r="B32" s="113" t="inlineStr">
        <is>
          <t>Paso Robles, CA</t>
        </is>
      </c>
      <c r="C32" s="114" t="n">
        <v>16.83</v>
      </c>
      <c r="D32" s="114">
        <f>(C32/25)*1.13</f>
        <v/>
      </c>
      <c r="E32" s="114">
        <f>D32*8</f>
        <v/>
      </c>
      <c r="F32" s="115">
        <f>E32*3</f>
        <v/>
      </c>
      <c r="G32" s="115">
        <f>C32*1.13</f>
        <v/>
      </c>
      <c r="H32" s="115">
        <f>G32*2</f>
        <v/>
      </c>
    </row>
    <row r="33">
      <c r="A33" s="3" t="inlineStr">
        <is>
          <t xml:space="preserve">Montes Alpha Cabernet Sauvignon </t>
        </is>
      </c>
      <c r="B33" s="113" t="inlineStr">
        <is>
          <t>Colchagua, CHL</t>
        </is>
      </c>
      <c r="C33" s="114" t="n">
        <v>16.09</v>
      </c>
      <c r="D33" s="114">
        <f>(C33/25)*1.13</f>
        <v/>
      </c>
      <c r="E33" s="114">
        <f>D33*8</f>
        <v/>
      </c>
      <c r="F33" s="115" t="n">
        <v>16</v>
      </c>
      <c r="G33" s="115">
        <f>C33*1.13</f>
        <v/>
      </c>
      <c r="H33" s="115">
        <f>G33*2</f>
        <v/>
      </c>
    </row>
    <row r="35">
      <c r="A35" s="3" t="n"/>
      <c r="B35" s="113" t="n"/>
      <c r="C35" s="114" t="n"/>
      <c r="F35" s="115" t="n"/>
      <c r="G35" s="115" t="n"/>
      <c r="H35" s="115" t="n"/>
    </row>
    <row r="36">
      <c r="A36" s="15" t="inlineStr">
        <is>
          <t>Pinot Noir</t>
        </is>
      </c>
      <c r="B36" s="114" t="n"/>
      <c r="C36" s="114" t="n"/>
      <c r="F36" s="115" t="n"/>
      <c r="G36" s="115" t="n"/>
      <c r="H36" s="115" t="n"/>
    </row>
    <row r="37">
      <c r="A37" s="3" t="inlineStr">
        <is>
          <t>Kosta Browne Pinot Noir</t>
        </is>
      </c>
      <c r="B37" s="113" t="inlineStr">
        <is>
          <t>Russian River, CA</t>
        </is>
      </c>
      <c r="C37" s="114" t="n">
        <v>84.02</v>
      </c>
      <c r="D37" s="114">
        <f>(C37/25)*1.13</f>
        <v/>
      </c>
      <c r="F37" s="115" t="n"/>
      <c r="G37" s="115">
        <f>C37*1.13</f>
        <v/>
      </c>
      <c r="H37" s="115">
        <f>G37*2</f>
        <v/>
      </c>
    </row>
    <row r="38">
      <c r="A38" s="3" t="inlineStr">
        <is>
          <t>Resonance Pinot Noir</t>
        </is>
      </c>
      <c r="B38" s="113" t="inlineStr">
        <is>
          <t>Yamhill Carlton, OR</t>
        </is>
      </c>
      <c r="C38" s="114" t="n">
        <v>54.95</v>
      </c>
      <c r="D38" s="114">
        <f>(C38/25)*1.13</f>
        <v/>
      </c>
      <c r="F38" s="115" t="n"/>
      <c r="G38" s="115">
        <f>C38*1.13</f>
        <v/>
      </c>
      <c r="H38" s="115">
        <f>G38*2</f>
        <v/>
      </c>
    </row>
    <row r="39">
      <c r="A39" s="3" t="inlineStr">
        <is>
          <t xml:space="preserve">Jadot Chassagne Montrachet Rouge </t>
        </is>
      </c>
      <c r="B39" s="113" t="inlineStr">
        <is>
          <t>Burgundy, FR</t>
        </is>
      </c>
      <c r="C39" s="114" t="n">
        <v>50.75</v>
      </c>
      <c r="D39" s="114">
        <f>(C39/25)*1.13</f>
        <v/>
      </c>
      <c r="F39" s="115" t="n"/>
      <c r="G39" s="115">
        <f>C39*1.13</f>
        <v/>
      </c>
      <c r="H39" s="115">
        <f>G39*2</f>
        <v/>
      </c>
    </row>
    <row r="40">
      <c r="A40" s="3" t="inlineStr">
        <is>
          <t>Siduri Pinot Noir</t>
        </is>
      </c>
      <c r="B40" s="113" t="inlineStr">
        <is>
          <t>Santa Rita, CA</t>
        </is>
      </c>
      <c r="C40" s="114" t="n">
        <v>26.72</v>
      </c>
      <c r="D40" s="114">
        <f>(C40/25)*1.13</f>
        <v/>
      </c>
      <c r="F40" s="115" t="n"/>
      <c r="G40" s="115">
        <f>C40*1.13</f>
        <v/>
      </c>
      <c r="H40" s="115">
        <f>G40*2</f>
        <v/>
      </c>
    </row>
    <row r="41">
      <c r="A41" s="3" t="inlineStr">
        <is>
          <t>Ken Wright Pinot Noir</t>
        </is>
      </c>
      <c r="B41" s="113" t="inlineStr">
        <is>
          <t>Willamette, OR</t>
        </is>
      </c>
      <c r="C41" s="114" t="n">
        <v>21.32</v>
      </c>
      <c r="D41" s="114">
        <f>(C41/25)*1.13</f>
        <v/>
      </c>
      <c r="F41" s="115" t="n"/>
      <c r="G41" s="115">
        <f>C41*1.13</f>
        <v/>
      </c>
      <c r="H41" s="115">
        <f>G41*2</f>
        <v/>
      </c>
    </row>
    <row r="42">
      <c r="A42" s="3" t="inlineStr">
        <is>
          <t xml:space="preserve">Acrobat Pinot Noir </t>
        </is>
      </c>
      <c r="B42" s="113" t="inlineStr">
        <is>
          <t>Oregon</t>
        </is>
      </c>
      <c r="C42" s="114" t="n">
        <v>15.33</v>
      </c>
      <c r="D42" s="114">
        <f>(C42/25)*1.13</f>
        <v/>
      </c>
      <c r="E42" s="114">
        <f>D42*8</f>
        <v/>
      </c>
      <c r="F42" s="115" t="n">
        <v>16</v>
      </c>
      <c r="G42" s="115">
        <f>C42*1.13</f>
        <v/>
      </c>
      <c r="H42" s="115">
        <f>G42*2</f>
        <v/>
      </c>
    </row>
    <row r="44">
      <c r="A44" s="3" t="n"/>
      <c r="B44" s="113" t="n"/>
      <c r="C44" s="114" t="n"/>
      <c r="D44" s="114" t="n"/>
      <c r="E44" s="114" t="n"/>
      <c r="F44" s="115" t="n"/>
      <c r="G44" s="115" t="n"/>
      <c r="H44" s="115" t="n"/>
    </row>
    <row r="45">
      <c r="A45" s="15" t="inlineStr">
        <is>
          <t>Red Blend</t>
        </is>
      </c>
      <c r="B45" s="114" t="n"/>
      <c r="C45" s="114" t="n"/>
      <c r="D45" s="114" t="n"/>
      <c r="F45" s="115" t="n"/>
      <c r="G45" s="115" t="n"/>
      <c r="H45" s="115" t="n"/>
    </row>
    <row r="46">
      <c r="A46" s="3" t="inlineStr">
        <is>
          <t>Joseph Phelps Insignia</t>
        </is>
      </c>
      <c r="B46" s="113" t="inlineStr">
        <is>
          <t>Napa Valley, CA</t>
        </is>
      </c>
      <c r="C46" s="114" t="n">
        <v>295.82</v>
      </c>
      <c r="D46" s="114">
        <f>(C46/25)*1.13</f>
        <v/>
      </c>
      <c r="F46" s="115" t="n"/>
      <c r="G46" s="115">
        <f>C46*1.13</f>
        <v/>
      </c>
      <c r="H46" s="115">
        <f>G46*2</f>
        <v/>
      </c>
    </row>
    <row r="47">
      <c r="A47" s="3" t="inlineStr">
        <is>
          <t>San Guido Sassicaia</t>
        </is>
      </c>
      <c r="B47" s="113" t="inlineStr">
        <is>
          <t>Sassicaia, IT</t>
        </is>
      </c>
      <c r="C47" s="114" t="n">
        <v>220.54</v>
      </c>
      <c r="D47" s="114">
        <f>(C47/25)*1.13</f>
        <v/>
      </c>
      <c r="F47" s="115" t="n"/>
      <c r="G47" s="115">
        <f>C47*1.13</f>
        <v/>
      </c>
      <c r="H47" s="115">
        <f>G47*2</f>
        <v/>
      </c>
    </row>
    <row r="48">
      <c r="A48" s="3" t="inlineStr">
        <is>
          <t>Caravan by Darioush</t>
        </is>
      </c>
      <c r="B48" s="113" t="inlineStr">
        <is>
          <t>Napa Valley, CA</t>
        </is>
      </c>
      <c r="C48" s="114" t="n">
        <v>44.57</v>
      </c>
      <c r="D48" s="114">
        <f>(C48/25)*1.13</f>
        <v/>
      </c>
      <c r="F48" s="115" t="n"/>
      <c r="G48" s="115">
        <f>C48*1.13</f>
        <v/>
      </c>
      <c r="H48" s="115">
        <f>G48*2</f>
        <v/>
      </c>
    </row>
    <row r="49">
      <c r="A49" s="3" t="inlineStr">
        <is>
          <t>The Prisoner</t>
        </is>
      </c>
      <c r="B49" s="113" t="inlineStr">
        <is>
          <t>California</t>
        </is>
      </c>
      <c r="C49" s="114" t="n">
        <v>42.99</v>
      </c>
      <c r="D49" s="114">
        <f>(C49/25)*1.13</f>
        <v/>
      </c>
      <c r="F49" s="115" t="n"/>
      <c r="G49" s="115">
        <f>C49*1.13</f>
        <v/>
      </c>
      <c r="H49" s="115">
        <f>G49*2</f>
        <v/>
      </c>
    </row>
    <row r="50">
      <c r="A50" s="3" t="inlineStr">
        <is>
          <t xml:space="preserve">M Chapoutier Croze Hermitage </t>
        </is>
      </c>
      <c r="B50" s="113" t="inlineStr">
        <is>
          <t>Croze-Hermitage, FR</t>
        </is>
      </c>
      <c r="C50" s="114" t="n">
        <v>36.42</v>
      </c>
      <c r="D50" s="114">
        <f>(C50/25)*1.13</f>
        <v/>
      </c>
      <c r="F50" s="115" t="n"/>
      <c r="G50" s="115">
        <f>C50*1.13</f>
        <v/>
      </c>
      <c r="H50" s="115">
        <f>G50*2</f>
        <v/>
      </c>
    </row>
    <row r="51">
      <c r="A51" s="3" t="inlineStr">
        <is>
          <t xml:space="preserve">Sette Ponti Crognolo </t>
        </is>
      </c>
      <c r="B51" s="113" t="inlineStr">
        <is>
          <t>Tuscany, IT</t>
        </is>
      </c>
      <c r="C51" s="114" t="n">
        <v>34.74</v>
      </c>
      <c r="D51" s="114">
        <f>(C51/25)*1.13</f>
        <v/>
      </c>
      <c r="F51" s="115" t="n"/>
      <c r="G51" s="115">
        <f>C51*1.13</f>
        <v/>
      </c>
      <c r="H51" s="115">
        <f>G51*2</f>
        <v/>
      </c>
    </row>
    <row r="52">
      <c r="A52" s="3" t="inlineStr">
        <is>
          <t>Goldschmidt Fidelity</t>
        </is>
      </c>
      <c r="B52" s="113" t="inlineStr">
        <is>
          <t>Alexander Valley, CA</t>
        </is>
      </c>
      <c r="C52" s="114" t="n">
        <v>15.33</v>
      </c>
      <c r="D52" s="114">
        <f>(C52/25)*1.13</f>
        <v/>
      </c>
      <c r="E52" s="114">
        <f>D52*8</f>
        <v/>
      </c>
      <c r="F52" s="115">
        <f>E52*3</f>
        <v/>
      </c>
      <c r="G52" s="115">
        <f>C52*1.13</f>
        <v/>
      </c>
      <c r="H52" s="115">
        <f>G52*2</f>
        <v/>
      </c>
    </row>
    <row r="53">
      <c r="A53" s="3" t="inlineStr">
        <is>
          <t>Zuccardi Series A Malbec</t>
        </is>
      </c>
      <c r="B53" s="113" t="inlineStr">
        <is>
          <t>Uco Valley, AR</t>
        </is>
      </c>
      <c r="C53" s="114" t="n">
        <v>13.84</v>
      </c>
      <c r="D53" s="114">
        <f>(C53/25)*1.13</f>
        <v/>
      </c>
      <c r="E53" s="114">
        <f>D53*8</f>
        <v/>
      </c>
      <c r="F53" s="115">
        <f>E53*3</f>
        <v/>
      </c>
      <c r="G53" s="115">
        <f>C53*1.13</f>
        <v/>
      </c>
      <c r="H53" s="115">
        <f>G53*2</f>
        <v/>
      </c>
    </row>
    <row r="54">
      <c r="A54" s="3" t="inlineStr">
        <is>
          <t xml:space="preserve">Honoro Vera Garnacha </t>
        </is>
      </c>
      <c r="B54" s="113" t="inlineStr">
        <is>
          <t>Calatayud, ESP</t>
        </is>
      </c>
      <c r="C54" s="114" t="n">
        <v>9.359999999999999</v>
      </c>
      <c r="D54" s="114">
        <f>(C54/25)*1.13</f>
        <v/>
      </c>
      <c r="E54" s="114">
        <f>D54*8</f>
        <v/>
      </c>
      <c r="F54" s="115" t="n">
        <v>12</v>
      </c>
      <c r="G54" s="115">
        <f>C54*1.13</f>
        <v/>
      </c>
      <c r="H54" s="115">
        <f>G54*2</f>
        <v/>
      </c>
    </row>
    <row r="56">
      <c r="A56" s="3" t="n"/>
      <c r="B56" s="113" t="n"/>
      <c r="C56" s="114" t="n"/>
      <c r="D56" s="114" t="n"/>
      <c r="F56" s="115" t="n"/>
      <c r="G56" s="115" t="n"/>
      <c r="H56" s="115" t="n"/>
    </row>
    <row r="57">
      <c r="A57" s="15" t="inlineStr">
        <is>
          <t>Merlot</t>
        </is>
      </c>
      <c r="B57" s="113" t="n"/>
      <c r="C57" s="114" t="n"/>
      <c r="D57" s="114" t="n"/>
      <c r="F57" s="115" t="n"/>
      <c r="G57" s="115" t="n"/>
      <c r="H57" s="115" t="n"/>
    </row>
    <row r="58">
      <c r="A58" s="3" t="inlineStr">
        <is>
          <t xml:space="preserve">Duckhorn Merlot </t>
        </is>
      </c>
      <c r="B58" s="113" t="inlineStr">
        <is>
          <t>Napa Valley, CA</t>
        </is>
      </c>
      <c r="C58" s="114" t="n">
        <v>45.16</v>
      </c>
      <c r="D58" s="114">
        <f>(C58/25)*1.13</f>
        <v/>
      </c>
      <c r="F58" s="115" t="n"/>
      <c r="G58" s="115">
        <f>C58*1.13</f>
        <v/>
      </c>
      <c r="H58" s="115">
        <f>G58*2</f>
        <v/>
      </c>
    </row>
    <row r="59">
      <c r="A59" s="3" t="inlineStr">
        <is>
          <t>Silverado Merlot</t>
        </is>
      </c>
      <c r="B59" s="113" t="inlineStr">
        <is>
          <t>Coombsville, CA</t>
        </is>
      </c>
      <c r="C59" s="114" t="n">
        <v>34.53</v>
      </c>
      <c r="D59" s="114">
        <f>(C59/25)*1.13</f>
        <v/>
      </c>
      <c r="F59" s="115" t="n"/>
      <c r="G59" s="115">
        <f>C59*1.13</f>
        <v/>
      </c>
      <c r="H59" s="115">
        <f>G59*2</f>
        <v/>
      </c>
    </row>
    <row r="60">
      <c r="A60" s="3" t="inlineStr">
        <is>
          <t>Skyfall Merlot</t>
        </is>
      </c>
      <c r="B60" s="113" t="inlineStr">
        <is>
          <t>Washington</t>
        </is>
      </c>
      <c r="C60" s="114" t="n">
        <v>15.6</v>
      </c>
      <c r="D60" s="114">
        <f>(C60/25)*1.13</f>
        <v/>
      </c>
      <c r="E60" s="114">
        <f>D60*8</f>
        <v/>
      </c>
      <c r="F60" s="115" t="n">
        <v>15</v>
      </c>
      <c r="G60" s="115">
        <f>C60*1.13</f>
        <v/>
      </c>
      <c r="H60" s="115">
        <f>G60*2</f>
        <v/>
      </c>
    </row>
    <row r="62">
      <c r="A62" s="3" t="n"/>
      <c r="B62" s="113" t="n"/>
      <c r="C62" s="114" t="n"/>
      <c r="D62" s="114" t="n"/>
      <c r="F62" s="115" t="n"/>
      <c r="G62" s="115" t="n"/>
      <c r="H62" s="115" t="n"/>
    </row>
    <row r="63">
      <c r="A63" s="15" t="inlineStr">
        <is>
          <t>Chardonnay</t>
        </is>
      </c>
      <c r="B63" s="114" t="n"/>
      <c r="C63" s="114" t="n"/>
      <c r="D63" s="114" t="n"/>
      <c r="F63" s="115" t="n"/>
      <c r="G63" s="115" t="n"/>
      <c r="H63" s="115" t="n"/>
    </row>
    <row r="64">
      <c r="A64" s="3" t="inlineStr">
        <is>
          <t xml:space="preserve">Giant Steps Chardonnay </t>
        </is>
      </c>
      <c r="B64" s="113" t="inlineStr">
        <is>
          <t>Yarra Valley, AUS</t>
        </is>
      </c>
      <c r="C64" s="114" t="n">
        <v>41.14</v>
      </c>
      <c r="D64" s="114">
        <f>(C64/25)*1.13</f>
        <v/>
      </c>
      <c r="F64" s="115" t="n"/>
      <c r="G64" s="115">
        <f>C64*1.13</f>
        <v/>
      </c>
      <c r="H64" s="115">
        <f>G64*2</f>
        <v/>
      </c>
    </row>
    <row r="65">
      <c r="A65" s="3" t="inlineStr">
        <is>
          <t>Rombauer Chardonnay</t>
        </is>
      </c>
      <c r="B65" s="113" t="inlineStr">
        <is>
          <t>Carneros, CA</t>
        </is>
      </c>
      <c r="C65" s="114" t="n">
        <v>32.74</v>
      </c>
      <c r="D65" s="114">
        <f>(C65/25)*1.13</f>
        <v/>
      </c>
      <c r="E65" s="114" t="n"/>
      <c r="F65" s="115" t="n"/>
      <c r="G65" s="115">
        <f>C65*1.13</f>
        <v/>
      </c>
      <c r="H65" s="115">
        <f>G65*2</f>
        <v/>
      </c>
    </row>
    <row r="66">
      <c r="A66" s="3" t="inlineStr">
        <is>
          <t xml:space="preserve">Freemark Abbey Chardonnay </t>
        </is>
      </c>
      <c r="B66" s="113" t="inlineStr">
        <is>
          <t>Napa Valley, CA</t>
        </is>
      </c>
      <c r="C66" s="114" t="n">
        <v>32.52</v>
      </c>
      <c r="D66" s="114">
        <f>(C66/25)*1.13</f>
        <v/>
      </c>
      <c r="F66" s="115" t="n"/>
      <c r="G66" s="115">
        <f>C66*1.13</f>
        <v/>
      </c>
      <c r="H66" s="115">
        <f>G66*2</f>
        <v/>
      </c>
    </row>
    <row r="67">
      <c r="A67" s="3" t="inlineStr">
        <is>
          <t>Louis Jadot Steel Chardonnay</t>
        </is>
      </c>
      <c r="B67" s="113" t="inlineStr">
        <is>
          <t>Burgundy, FR</t>
        </is>
      </c>
      <c r="C67" s="114" t="n">
        <v>16.83</v>
      </c>
      <c r="D67" s="114">
        <f>(C67/25)*1.13</f>
        <v/>
      </c>
      <c r="F67" s="115" t="n"/>
      <c r="G67" s="115">
        <f>C67*1.13</f>
        <v/>
      </c>
      <c r="H67" s="115">
        <f>G67*2</f>
        <v/>
      </c>
    </row>
    <row r="68">
      <c r="A68" s="3" t="inlineStr">
        <is>
          <t xml:space="preserve">St. Francis Chardonnay  </t>
        </is>
      </c>
      <c r="B68" s="113" t="inlineStr">
        <is>
          <t>Sonoma, CA</t>
        </is>
      </c>
      <c r="C68" s="114" t="n">
        <v>13.84</v>
      </c>
      <c r="D68" s="114">
        <f>(C68/25)*1.13</f>
        <v/>
      </c>
      <c r="E68" s="114">
        <f>D68*8</f>
        <v/>
      </c>
      <c r="F68" s="115" t="n">
        <v>16</v>
      </c>
      <c r="G68" s="115">
        <f>C68*1.13</f>
        <v/>
      </c>
      <c r="H68" s="115">
        <f>G68*2</f>
        <v/>
      </c>
    </row>
    <row r="69">
      <c r="A69" s="3" t="inlineStr">
        <is>
          <t xml:space="preserve">Yalumba Chardonnay </t>
        </is>
      </c>
      <c r="B69" s="113" t="inlineStr">
        <is>
          <t>AUS</t>
        </is>
      </c>
      <c r="C69" s="114" t="n">
        <v>11.6</v>
      </c>
      <c r="D69" s="114">
        <f>(C69/25)*1.13</f>
        <v/>
      </c>
      <c r="E69" s="114">
        <f>D69*8</f>
        <v/>
      </c>
      <c r="F69" s="115">
        <f>E69*3</f>
        <v/>
      </c>
      <c r="G69" s="115">
        <f>C69*1.13</f>
        <v/>
      </c>
      <c r="H69" s="115">
        <f>G69*2</f>
        <v/>
      </c>
    </row>
    <row r="71">
      <c r="A71" s="3" t="n"/>
      <c r="B71" s="113" t="n"/>
      <c r="C71" s="114" t="n"/>
      <c r="E71" s="114" t="n"/>
      <c r="F71" s="115" t="n"/>
      <c r="G71" s="115" t="n"/>
      <c r="H71" s="115" t="n"/>
    </row>
    <row r="72">
      <c r="A72" s="15" t="inlineStr">
        <is>
          <t>Sauvignon Blanc</t>
        </is>
      </c>
      <c r="F72" s="115" t="n"/>
      <c r="G72" s="115" t="n"/>
      <c r="H72" s="115" t="n"/>
    </row>
    <row r="73">
      <c r="A73" s="3" t="inlineStr">
        <is>
          <t>Cloudy Bay Sauvignon Blanc</t>
        </is>
      </c>
      <c r="B73" s="113" t="inlineStr">
        <is>
          <t>Marlborough, NZ</t>
        </is>
      </c>
      <c r="C73" s="114" t="n">
        <v>33.76</v>
      </c>
      <c r="D73" s="114">
        <f>(C73/25)*1.13</f>
        <v/>
      </c>
      <c r="F73" s="115" t="n"/>
      <c r="G73" s="115">
        <f>C73*1.13</f>
        <v/>
      </c>
      <c r="H73" s="115">
        <f>G73*2</f>
        <v/>
      </c>
    </row>
    <row r="74">
      <c r="A74" s="3" t="inlineStr">
        <is>
          <t xml:space="preserve">Le Garenne Sancere </t>
        </is>
      </c>
      <c r="B74" s="113" t="inlineStr">
        <is>
          <t>Sancerre, FR</t>
        </is>
      </c>
      <c r="C74" s="114" t="n">
        <v>26.72</v>
      </c>
      <c r="D74" s="114">
        <f>(C74/25)*1.13</f>
        <v/>
      </c>
      <c r="F74" s="115" t="n"/>
      <c r="G74" s="115">
        <f>C74*1.13</f>
        <v/>
      </c>
      <c r="H74" s="115">
        <f>G74*2</f>
        <v/>
      </c>
    </row>
    <row r="75">
      <c r="A75" s="3" t="inlineStr">
        <is>
          <t>Round Pond Sauvignon Blanc</t>
        </is>
      </c>
      <c r="B75" s="113" t="inlineStr">
        <is>
          <t>Rutherford, CA</t>
        </is>
      </c>
      <c r="C75" s="114" t="n">
        <v>23.48</v>
      </c>
      <c r="D75" s="114">
        <f>(C75/25)*1.13</f>
        <v/>
      </c>
      <c r="F75" s="115" t="n"/>
      <c r="G75" s="115">
        <f>C75*1.13</f>
        <v/>
      </c>
      <c r="H75" s="115">
        <f>G75*2</f>
        <v/>
      </c>
    </row>
    <row r="76">
      <c r="A76" s="3" t="inlineStr">
        <is>
          <t xml:space="preserve">Infamous Goose Sauvignon Blanc </t>
        </is>
      </c>
      <c r="B76" s="113" t="inlineStr">
        <is>
          <t>Marlborough, NZ</t>
        </is>
      </c>
      <c r="C76" s="114" t="n">
        <v>13.84</v>
      </c>
      <c r="D76" s="114">
        <f>(C76/25)*1.13</f>
        <v/>
      </c>
      <c r="E76" s="114">
        <f>D76*8</f>
        <v/>
      </c>
      <c r="F76" s="115" t="n">
        <v>16</v>
      </c>
      <c r="G76" s="115">
        <f>C76*1.13</f>
        <v/>
      </c>
      <c r="H76" s="115">
        <f>G76*2</f>
        <v/>
      </c>
    </row>
    <row r="77">
      <c r="A77" s="3" t="inlineStr">
        <is>
          <t xml:space="preserve">Dourthe Sauvignon Blanc </t>
        </is>
      </c>
      <c r="B77" s="113" t="inlineStr">
        <is>
          <t>Bordeaux, FR</t>
        </is>
      </c>
      <c r="C77" s="114" t="n">
        <v>13.84</v>
      </c>
      <c r="D77" s="114">
        <f>(C77/25)*1.13</f>
        <v/>
      </c>
      <c r="E77" s="114">
        <f>D77*8</f>
        <v/>
      </c>
      <c r="F77" s="115" t="n">
        <v>14</v>
      </c>
      <c r="G77" s="115">
        <f>C77*1.13</f>
        <v/>
      </c>
      <c r="H77" s="115">
        <f>G77*2</f>
        <v/>
      </c>
    </row>
    <row r="78">
      <c r="A78" s="3" t="n"/>
      <c r="B78" s="113" t="n"/>
      <c r="C78" s="114" t="n"/>
      <c r="D78" s="114" t="n"/>
      <c r="E78" s="114" t="n"/>
      <c r="F78" s="115" t="n"/>
      <c r="G78" s="115" t="n"/>
      <c r="H78" s="115" t="n"/>
    </row>
    <row r="79">
      <c r="A79" s="15" t="inlineStr">
        <is>
          <t>Whites</t>
        </is>
      </c>
      <c r="B79" s="114" t="n"/>
      <c r="C79" s="114" t="n"/>
      <c r="D79" s="114" t="n"/>
      <c r="F79" s="115" t="n"/>
      <c r="G79" s="115" t="n"/>
      <c r="H79" s="115" t="n"/>
    </row>
    <row r="80">
      <c r="A80" s="3" t="inlineStr">
        <is>
          <t>Santa Margherita Pinot Grigio</t>
        </is>
      </c>
      <c r="B80" s="113" t="inlineStr">
        <is>
          <t>Alto Adige, IT</t>
        </is>
      </c>
      <c r="C80" s="114" t="n">
        <v>23.14</v>
      </c>
      <c r="D80" s="114">
        <f>(C80/25)*1.13</f>
        <v/>
      </c>
      <c r="F80" s="115" t="n"/>
      <c r="G80" s="115">
        <f>C80*1.13</f>
        <v/>
      </c>
      <c r="H80" s="115">
        <f>G80*2</f>
        <v/>
      </c>
    </row>
    <row r="81">
      <c r="A81" s="3" t="inlineStr">
        <is>
          <t>Kris Pinot Grigio</t>
        </is>
      </c>
      <c r="B81" s="113" t="inlineStr">
        <is>
          <t>Veneto, IT</t>
        </is>
      </c>
      <c r="C81" s="114" t="n">
        <v>12.35</v>
      </c>
      <c r="D81" s="114">
        <f>(C81/25)*1.13</f>
        <v/>
      </c>
      <c r="E81" s="114">
        <f>D81*8</f>
        <v/>
      </c>
      <c r="F81" s="115" t="n">
        <v>14</v>
      </c>
      <c r="G81" s="115">
        <f>C81*1.13</f>
        <v/>
      </c>
      <c r="H81" s="115">
        <f>G81*2</f>
        <v/>
      </c>
    </row>
    <row r="82">
      <c r="A82" s="3" t="inlineStr">
        <is>
          <t>Louis Jadot Rose of Gamay</t>
        </is>
      </c>
      <c r="B82" s="113" t="inlineStr">
        <is>
          <t>France</t>
        </is>
      </c>
      <c r="C82" s="114" t="n">
        <v>12.35</v>
      </c>
      <c r="D82" s="114">
        <f>(C82/25)*1.13</f>
        <v/>
      </c>
      <c r="E82" s="114">
        <f>D82*8</f>
        <v/>
      </c>
      <c r="F82" s="115" t="n">
        <v>12</v>
      </c>
      <c r="G82" s="115">
        <f>C82*1.13</f>
        <v/>
      </c>
      <c r="H82" s="115">
        <f>G82*2</f>
        <v/>
      </c>
    </row>
    <row r="83">
      <c r="A83" s="3" t="inlineStr">
        <is>
          <t>Pine Ridge Chenin Blanc + Viognier</t>
        </is>
      </c>
      <c r="B83" s="113" t="inlineStr">
        <is>
          <t>California</t>
        </is>
      </c>
      <c r="C83" s="114" t="n">
        <v>12.35</v>
      </c>
      <c r="D83" s="114">
        <f>(C83/25)*1.13</f>
        <v/>
      </c>
      <c r="E83" s="114">
        <f>D83*8</f>
        <v/>
      </c>
      <c r="F83" s="115">
        <f>E83*3</f>
        <v/>
      </c>
      <c r="G83" s="115">
        <f>C83*1.13</f>
        <v/>
      </c>
      <c r="H83" s="115">
        <f>G83*2</f>
        <v/>
      </c>
    </row>
    <row r="84">
      <c r="A84" s="3" t="inlineStr">
        <is>
          <t>Quady Moscato</t>
        </is>
      </c>
      <c r="B84" s="113" t="inlineStr">
        <is>
          <t>California</t>
        </is>
      </c>
      <c r="C84" s="114" t="n">
        <v>13.22</v>
      </c>
      <c r="D84" s="114">
        <f>(C84/25)*1.13</f>
        <v/>
      </c>
      <c r="E84" s="114">
        <f>D84*8</f>
        <v/>
      </c>
      <c r="F84" s="115">
        <f>E84*3</f>
        <v/>
      </c>
      <c r="G84" s="115">
        <f>C84*1.13</f>
        <v/>
      </c>
      <c r="H84" s="115">
        <f>G84*2</f>
        <v/>
      </c>
    </row>
    <row r="85">
      <c r="A85" s="3" t="inlineStr">
        <is>
          <t xml:space="preserve">Fess Parker Riesling </t>
        </is>
      </c>
      <c r="B85" s="113" t="inlineStr">
        <is>
          <t>Santa Barbara, CA</t>
        </is>
      </c>
      <c r="C85" s="114" t="n">
        <v>13.09</v>
      </c>
      <c r="D85" s="114">
        <f>(C85/25)*1.13</f>
        <v/>
      </c>
      <c r="E85" s="114">
        <f>D85*8</f>
        <v/>
      </c>
      <c r="F85" s="115">
        <f>E85*3</f>
        <v/>
      </c>
      <c r="G85" s="115">
        <f>C85*1.13</f>
        <v/>
      </c>
      <c r="H85" s="115">
        <f>G85*2</f>
        <v/>
      </c>
    </row>
    <row r="86">
      <c r="D86" s="114" t="n"/>
      <c r="E86" s="114" t="n"/>
      <c r="H86" s="114" t="n"/>
    </row>
    <row r="87">
      <c r="A87" s="15" t="inlineStr">
        <is>
          <t>Ports</t>
        </is>
      </c>
      <c r="D87" s="114" t="n"/>
      <c r="H87" s="114" t="n"/>
    </row>
    <row r="88">
      <c r="A88" s="3" t="inlineStr">
        <is>
          <t>Fonseca Bin 27</t>
        </is>
      </c>
      <c r="D88" s="114" t="n"/>
      <c r="H88" s="114" t="n"/>
    </row>
    <row r="89" ht="15.5" customHeight="1">
      <c r="A89" s="5" t="inlineStr">
        <is>
          <t>Taylor Fladgate 10yr Tawny (750mL/item) - $29.54 1</t>
        </is>
      </c>
      <c r="B89" s="4" t="n"/>
      <c r="C89" s="6" t="n"/>
      <c r="D89" s="114" t="n"/>
      <c r="H89" s="114" t="n"/>
    </row>
    <row r="90" ht="15.5" customHeight="1">
      <c r="A90" s="5" t="inlineStr">
        <is>
          <t>Taylor Fladgate 20yr Tawny (750mL/item) - $47.47 1</t>
        </is>
      </c>
      <c r="B90" s="4" t="n"/>
      <c r="C90" s="6" t="n"/>
      <c r="D90" s="114" t="n"/>
      <c r="H90" s="114" t="n"/>
    </row>
    <row r="91">
      <c r="B91" s="114" t="n"/>
      <c r="C91" s="114" t="n"/>
      <c r="D91" s="114" t="n"/>
      <c r="H91" s="114" t="n"/>
    </row>
    <row r="92">
      <c r="D92" s="114" t="n"/>
      <c r="H92" s="114" t="n"/>
    </row>
    <row r="93">
      <c r="H93" s="114" t="n"/>
    </row>
    <row r="94">
      <c r="B94" s="114" t="n"/>
      <c r="C94" s="114" t="n"/>
      <c r="H94" s="114" t="n"/>
    </row>
    <row r="95">
      <c r="H95" s="114" t="n"/>
    </row>
    <row r="96">
      <c r="H96" s="114" t="n"/>
    </row>
    <row r="97">
      <c r="H97" s="114" t="n"/>
    </row>
    <row r="98">
      <c r="H98" s="114" t="n"/>
    </row>
    <row r="99">
      <c r="H99" s="114" t="n"/>
    </row>
    <row r="100">
      <c r="H100" s="114" t="n"/>
    </row>
    <row r="101">
      <c r="H101" s="114" t="n"/>
    </row>
    <row r="102">
      <c r="H102" s="114" t="n"/>
    </row>
    <row r="103">
      <c r="H103" s="114" t="n"/>
    </row>
    <row r="104">
      <c r="H104" s="114" t="n"/>
    </row>
    <row r="105">
      <c r="H105" s="114" t="n"/>
    </row>
    <row r="106">
      <c r="H106" s="114" t="n"/>
    </row>
    <row r="107">
      <c r="H107" s="114" t="n"/>
    </row>
    <row r="108">
      <c r="H108" s="114" t="n"/>
    </row>
    <row r="109">
      <c r="H109" s="114" t="n"/>
    </row>
    <row r="110">
      <c r="H110" s="114" t="n"/>
    </row>
    <row r="111">
      <c r="H111" s="114" t="n"/>
    </row>
    <row r="112">
      <c r="H112" s="114" t="n"/>
    </row>
    <row r="113">
      <c r="B113" s="114" t="n"/>
      <c r="C113" s="114" t="n"/>
      <c r="H113" s="114" t="n"/>
    </row>
    <row r="114">
      <c r="H114" s="114" t="n"/>
    </row>
    <row r="115">
      <c r="H115" s="114" t="n"/>
    </row>
    <row r="117">
      <c r="H117" s="114" t="n"/>
    </row>
    <row r="118">
      <c r="C118" s="114" t="n"/>
      <c r="E118" s="114" t="n"/>
    </row>
    <row r="123">
      <c r="B123" s="114" t="n"/>
    </row>
  </sheetData>
  <conditionalFormatting sqref="A89:A90">
    <cfRule type="containsText" priority="1" operator="containsText" dxfId="0" text="tequila">
      <formula>NOT(ISERROR(SEARCH(("tequila"),(A89))))</formula>
    </cfRule>
  </conditionalFormatting>
  <pageMargins left="0.25" right="0.25" top="0.75" bottom="0.75" header="0.3" footer="0.3"/>
  <pageSetup orientation="portrait" scale="68" fitToHeight="0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:G37"/>
  <sheetViews>
    <sheetView workbookViewId="0">
      <selection activeCell="J27" sqref="J27"/>
    </sheetView>
  </sheetViews>
  <sheetFormatPr baseColWidth="8" defaultRowHeight="12.5"/>
  <cols>
    <col width="32.26953125" customWidth="1" min="1" max="1"/>
    <col width="7.7265625" customWidth="1" style="7" min="2" max="2"/>
    <col width="6.1796875" customWidth="1" style="7" min="3" max="3"/>
    <col width="13.453125" customWidth="1" style="7" min="4" max="5"/>
    <col width="9" customWidth="1" style="7" min="6" max="6"/>
    <col width="13.453125" customWidth="1" min="7" max="11"/>
  </cols>
  <sheetData>
    <row r="5">
      <c r="A5" s="1" t="n"/>
      <c r="B5" s="8" t="n"/>
    </row>
    <row r="11">
      <c r="A11" s="3" t="inlineStr">
        <is>
          <t>beer</t>
        </is>
      </c>
      <c r="B11" s="9" t="inlineStr">
        <is>
          <t>oz</t>
        </is>
      </c>
      <c r="C11" s="9" t="inlineStr">
        <is>
          <t>qty</t>
        </is>
      </c>
      <c r="D11" s="7" t="inlineStr">
        <is>
          <t>Case Price</t>
        </is>
      </c>
      <c r="E11" s="7" t="inlineStr">
        <is>
          <t>Single Price</t>
        </is>
      </c>
      <c r="F11" s="9" t="inlineStr">
        <is>
          <t>mark up</t>
        </is>
      </c>
      <c r="G11" s="7" t="inlineStr">
        <is>
          <t>retail</t>
        </is>
      </c>
    </row>
    <row r="13">
      <c r="A13" s="3" t="inlineStr">
        <is>
          <t xml:space="preserve">Michelob Ultra </t>
        </is>
      </c>
      <c r="B13" s="9" t="inlineStr">
        <is>
          <t>12oz</t>
        </is>
      </c>
      <c r="C13" s="7" t="n">
        <v>24</v>
      </c>
      <c r="D13" s="116" t="n">
        <v>22.58</v>
      </c>
      <c r="E13" s="116">
        <f>SUM(D13/C13)*1.075</f>
        <v/>
      </c>
      <c r="F13" s="13" t="n">
        <v>5</v>
      </c>
      <c r="G13" s="117">
        <f>SUM(E13*F13)</f>
        <v/>
      </c>
    </row>
    <row r="14">
      <c r="A14" s="3" t="inlineStr">
        <is>
          <t xml:space="preserve">Bud Light </t>
        </is>
      </c>
      <c r="B14" s="9" t="inlineStr">
        <is>
          <t>12oz</t>
        </is>
      </c>
      <c r="C14" s="7" t="n">
        <v>12</v>
      </c>
      <c r="D14" s="116" t="n">
        <v>12.24</v>
      </c>
      <c r="E14" s="116">
        <f>SUM(D14/C14)*1.075</f>
        <v/>
      </c>
      <c r="F14" s="13" t="n">
        <v>5</v>
      </c>
      <c r="G14" s="117">
        <f>SUM(E14*F14)</f>
        <v/>
      </c>
    </row>
    <row r="15">
      <c r="A15" s="3" t="inlineStr">
        <is>
          <t xml:space="preserve">Heineken 0.0 </t>
        </is>
      </c>
      <c r="B15" s="9" t="inlineStr">
        <is>
          <t>12oz</t>
        </is>
      </c>
      <c r="C15" s="7" t="n">
        <v>6</v>
      </c>
      <c r="D15" s="116" t="n">
        <v>7.98</v>
      </c>
      <c r="E15" s="116">
        <f>SUM(D15/C15)*1.075</f>
        <v/>
      </c>
      <c r="F15" s="13" t="n">
        <v>4</v>
      </c>
      <c r="G15" s="117">
        <f>SUM(E15*F15)</f>
        <v/>
      </c>
    </row>
    <row r="16">
      <c r="A16" s="3" t="inlineStr">
        <is>
          <t xml:space="preserve">Corona N/A </t>
        </is>
      </c>
      <c r="B16" s="9" t="inlineStr">
        <is>
          <t>12oz</t>
        </is>
      </c>
      <c r="C16" s="7" t="n">
        <v>6</v>
      </c>
      <c r="D16" s="116" t="n">
        <v>7.98</v>
      </c>
      <c r="E16" s="116">
        <f>SUM(D16/C16)*1.075</f>
        <v/>
      </c>
      <c r="F16" s="13" t="n">
        <v>4</v>
      </c>
      <c r="G16" s="117">
        <f>SUM(E16*F16)</f>
        <v/>
      </c>
    </row>
    <row r="17">
      <c r="A17" s="3" t="inlineStr">
        <is>
          <t xml:space="preserve">Truly Pineapple 4pk </t>
        </is>
      </c>
      <c r="B17" s="9" t="inlineStr">
        <is>
          <t>12oz</t>
        </is>
      </c>
      <c r="C17" s="7" t="n">
        <v>4</v>
      </c>
      <c r="D17" s="116" t="n">
        <v>8.4</v>
      </c>
      <c r="E17" s="116">
        <f>SUM(D17/C17)*1.075</f>
        <v/>
      </c>
      <c r="F17" s="13" t="n">
        <v>4</v>
      </c>
      <c r="G17" s="117">
        <f>SUM(E17*F17)</f>
        <v/>
      </c>
    </row>
    <row r="18">
      <c r="A18" s="3" t="inlineStr">
        <is>
          <t xml:space="preserve">Angry Orchard Crisp Apple Cider </t>
        </is>
      </c>
      <c r="B18" s="9" t="inlineStr">
        <is>
          <t>12oz</t>
        </is>
      </c>
      <c r="C18" s="7" t="n">
        <v>12</v>
      </c>
      <c r="D18" s="116" t="n">
        <v>14.28</v>
      </c>
      <c r="E18" s="116">
        <f>SUM(D18/C18)*1.075</f>
        <v/>
      </c>
      <c r="F18" s="13" t="n">
        <v>4</v>
      </c>
      <c r="G18" s="117">
        <f>SUM(E18*F18)</f>
        <v/>
      </c>
    </row>
    <row r="19">
      <c r="A19" s="3" t="inlineStr">
        <is>
          <t xml:space="preserve">Free State Guavatas Sour </t>
        </is>
      </c>
      <c r="B19" s="9" t="inlineStr">
        <is>
          <t>12oz</t>
        </is>
      </c>
      <c r="C19" s="7" t="n">
        <v>6</v>
      </c>
      <c r="D19" s="116" t="n">
        <v>9.24</v>
      </c>
      <c r="E19" s="116">
        <f>SUM(D19/C19)*1.075</f>
        <v/>
      </c>
      <c r="F19" s="13" t="n">
        <v>4</v>
      </c>
      <c r="G19" s="117">
        <f>SUM(E19*F19)</f>
        <v/>
      </c>
    </row>
    <row r="20">
      <c r="A20" s="3" t="inlineStr">
        <is>
          <t xml:space="preserve">Sam Adams Boston Lager </t>
        </is>
      </c>
      <c r="B20" s="9" t="inlineStr">
        <is>
          <t>12oz</t>
        </is>
      </c>
      <c r="C20" s="7" t="n">
        <v>12</v>
      </c>
      <c r="D20" s="116" t="n">
        <v>15.12</v>
      </c>
      <c r="E20" s="116">
        <f>SUM(D20/C20)*1.075</f>
        <v/>
      </c>
      <c r="F20" s="13" t="n">
        <v>4</v>
      </c>
      <c r="G20" s="117">
        <f>SUM(E20*F20)</f>
        <v/>
      </c>
    </row>
    <row r="21">
      <c r="A21" s="3" t="inlineStr">
        <is>
          <t xml:space="preserve">Ommegang Hennepin Farmhouse Ale </t>
        </is>
      </c>
      <c r="B21" s="9" t="inlineStr">
        <is>
          <t>12oz</t>
        </is>
      </c>
      <c r="C21" s="7" t="n">
        <v>4</v>
      </c>
      <c r="D21" s="116" t="n">
        <v>8.4</v>
      </c>
      <c r="E21" s="116">
        <f>SUM(D21/C21)*1.075</f>
        <v/>
      </c>
      <c r="F21" s="13" t="n">
        <v>4</v>
      </c>
      <c r="G21" s="117">
        <f>SUM(E21*F21)</f>
        <v/>
      </c>
    </row>
    <row r="22">
      <c r="A22" s="3" t="inlineStr">
        <is>
          <t xml:space="preserve">Duvel Golden Ale </t>
        </is>
      </c>
      <c r="B22" s="9" t="inlineStr">
        <is>
          <t>11.2oz</t>
        </is>
      </c>
      <c r="C22" s="7" t="n">
        <v>4</v>
      </c>
      <c r="D22" s="116" t="n">
        <v>12.6</v>
      </c>
      <c r="E22" s="116">
        <f>SUM(D22/C22)*1.075</f>
        <v/>
      </c>
      <c r="F22" s="13" t="n">
        <v>4</v>
      </c>
      <c r="G22" s="117">
        <f>SUM(E22*F22)</f>
        <v/>
      </c>
    </row>
    <row r="23">
      <c r="A23" s="3" t="inlineStr">
        <is>
          <t xml:space="preserve">Weihenstephaner Hefeweissbier </t>
        </is>
      </c>
      <c r="B23" s="9" t="inlineStr">
        <is>
          <t>12oz</t>
        </is>
      </c>
      <c r="C23" s="7" t="n">
        <v>6</v>
      </c>
      <c r="D23" s="116" t="n">
        <v>10.5</v>
      </c>
      <c r="E23" s="116">
        <f>SUM(D23/C23)*1.075</f>
        <v/>
      </c>
      <c r="F23" s="13" t="n">
        <v>4</v>
      </c>
      <c r="G23" s="117">
        <f>SUM(E23*F23)</f>
        <v/>
      </c>
    </row>
    <row r="24">
      <c r="A24" s="3" t="inlineStr">
        <is>
          <t xml:space="preserve">Guinness Draught  </t>
        </is>
      </c>
      <c r="B24" s="9" t="inlineStr">
        <is>
          <t>11.2oz</t>
        </is>
      </c>
      <c r="C24" s="7" t="n">
        <v>12</v>
      </c>
      <c r="D24" s="116" t="n">
        <v>14.28</v>
      </c>
      <c r="E24" s="116">
        <f>SUM(D24/C24)*1.075</f>
        <v/>
      </c>
      <c r="F24" s="13" t="n">
        <v>4</v>
      </c>
      <c r="G24" s="117">
        <f>SUM(E24*F24)</f>
        <v/>
      </c>
    </row>
    <row r="25">
      <c r="A25" s="3" t="inlineStr">
        <is>
          <t xml:space="preserve">Heineken Lager </t>
        </is>
      </c>
      <c r="B25" s="9" t="inlineStr">
        <is>
          <t>12oz</t>
        </is>
      </c>
      <c r="C25" s="7" t="n">
        <v>24</v>
      </c>
      <c r="D25" s="116" t="n">
        <v>26.04</v>
      </c>
      <c r="E25" s="116">
        <f>SUM(D25/C25)*1.075</f>
        <v/>
      </c>
      <c r="F25" s="13" t="n">
        <v>4</v>
      </c>
      <c r="G25" s="117">
        <f>SUM(E25*F25)</f>
        <v/>
      </c>
    </row>
    <row r="26">
      <c r="A26" s="3" t="inlineStr">
        <is>
          <t xml:space="preserve">Dos Equis Lager </t>
        </is>
      </c>
      <c r="B26" s="9" t="inlineStr">
        <is>
          <t>12oz</t>
        </is>
      </c>
      <c r="C26" s="7" t="n">
        <v>24</v>
      </c>
      <c r="D26" s="116" t="n">
        <v>24</v>
      </c>
      <c r="E26" s="116">
        <f>SUM(D26/C26)*1.075</f>
        <v/>
      </c>
      <c r="F26" s="13" t="n">
        <v>5</v>
      </c>
      <c r="G26" s="117">
        <f>SUM(E26*F26)</f>
        <v/>
      </c>
    </row>
    <row r="27">
      <c r="A27" s="3" t="inlineStr">
        <is>
          <t xml:space="preserve">Victoria Lager </t>
        </is>
      </c>
      <c r="B27" s="9" t="inlineStr">
        <is>
          <t>12oz</t>
        </is>
      </c>
      <c r="C27" s="7" t="n">
        <v>12</v>
      </c>
      <c r="D27" s="116" t="n">
        <v>14.7</v>
      </c>
      <c r="E27" s="116">
        <f>SUM(D27/C27)*1.075</f>
        <v/>
      </c>
      <c r="F27" s="13" t="n">
        <v>4</v>
      </c>
      <c r="G27" s="117">
        <f>SUM(E27*F27)</f>
        <v/>
      </c>
    </row>
    <row r="28">
      <c r="A28" s="3" t="inlineStr">
        <is>
          <t xml:space="preserve">Corona Extra </t>
        </is>
      </c>
      <c r="B28" s="9" t="inlineStr">
        <is>
          <t>12oz</t>
        </is>
      </c>
      <c r="C28" s="7" t="n">
        <v>24</v>
      </c>
      <c r="D28" s="116" t="n">
        <v>28.56</v>
      </c>
      <c r="E28" s="116">
        <f>SUM(D28/C28)*1.075</f>
        <v/>
      </c>
      <c r="F28" s="13" t="n">
        <v>4</v>
      </c>
      <c r="G28" s="117">
        <f>SUM(E28*F28)</f>
        <v/>
      </c>
    </row>
    <row r="29">
      <c r="A29" s="3" t="inlineStr">
        <is>
          <t>Modelo Oro</t>
        </is>
      </c>
      <c r="B29" s="9" t="inlineStr">
        <is>
          <t>12oz</t>
        </is>
      </c>
      <c r="C29" s="7" t="n">
        <v>12</v>
      </c>
      <c r="D29" s="116" t="n">
        <v>13.44</v>
      </c>
      <c r="E29" s="116">
        <f>SUM(D29/C29)*1.075</f>
        <v/>
      </c>
      <c r="F29" s="13" t="n">
        <v>4</v>
      </c>
      <c r="G29" s="117">
        <f>SUM(E29*F29)</f>
        <v/>
      </c>
    </row>
    <row r="30">
      <c r="A30" s="3" t="inlineStr">
        <is>
          <t xml:space="preserve">Modelo Negra </t>
        </is>
      </c>
      <c r="B30" s="9" t="inlineStr">
        <is>
          <t>12oz</t>
        </is>
      </c>
      <c r="C30" s="7" t="n">
        <v>12</v>
      </c>
      <c r="D30" s="116" t="n">
        <v>14.7</v>
      </c>
      <c r="E30" s="116">
        <f>SUM(D30/C30)*1.075</f>
        <v/>
      </c>
      <c r="F30" s="13" t="n">
        <v>4</v>
      </c>
      <c r="G30" s="117">
        <f>SUM(E30*F30)</f>
        <v/>
      </c>
    </row>
    <row r="31">
      <c r="A31" s="3" t="inlineStr">
        <is>
          <t>Modelo Especial</t>
        </is>
      </c>
      <c r="B31" s="9" t="inlineStr">
        <is>
          <t>12oz</t>
        </is>
      </c>
      <c r="C31" s="7" t="n">
        <v>24</v>
      </c>
      <c r="D31" s="116" t="n">
        <v>28.56</v>
      </c>
      <c r="E31" s="116">
        <f>SUM(D31/C31)*1.075</f>
        <v/>
      </c>
      <c r="F31" s="13" t="n">
        <v>4</v>
      </c>
      <c r="G31" s="117">
        <f>SUM(E31*F31)</f>
        <v/>
      </c>
    </row>
    <row r="37">
      <c r="A37" s="114" t="n"/>
      <c r="B37" s="116" t="n"/>
      <c r="D37" s="116" t="n"/>
      <c r="G37" s="1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Sama Mushtaq</dc:creator>
  <dcterms:created xmlns:dcterms="http://purl.org/dc/terms/" xmlns:xsi="http://www.w3.org/2001/XMLSchema-instance" xsi:type="dcterms:W3CDTF">2023-11-11T21:21:00Z</dcterms:created>
  <dcterms:modified xmlns:dcterms="http://purl.org/dc/terms/" xmlns:xsi="http://www.w3.org/2001/XMLSchema-instance" xsi:type="dcterms:W3CDTF">2026-07-15T20:02:13Z</dcterms:modified>
  <cp:lastModifiedBy>Sama Mushtaq</cp:lastModifiedBy>
  <cp:lastPrinted>2023-12-01T18:01:26Z</cp:lastPrinted>
</cp:coreProperties>
</file>