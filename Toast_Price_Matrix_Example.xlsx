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30" windowWidth="38620" windowHeight="21100" tabRatio="600" firstSheet="0" activeTab="0" autoFilterDateGrouping="1"/>
  </bookViews>
  <sheets>
    <sheet xmlns:r="http://schemas.openxmlformats.org/officeDocument/2006/relationships" name="INV 180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0.0"/>
    <numFmt numFmtId="166" formatCode="_([$$-409]* #,##0_);_([$$-409]* \(#,##0\);_([$$-409]* &quot;-&quot;??_);_(@_)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3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5" borderId="10" applyAlignment="1" pivotButton="0" quotePrefix="0" xfId="0">
      <alignment horizontal="center" vertical="center" wrapText="1"/>
    </xf>
    <xf numFmtId="164" fontId="0" fillId="35" borderId="1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" fontId="0" fillId="38" borderId="10" applyAlignment="1" pivotButton="0" quotePrefix="0" xfId="0">
      <alignment horizontal="center" vertical="center" wrapText="1"/>
    </xf>
    <xf numFmtId="1" fontId="0" fillId="38" borderId="1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" fontId="0" fillId="0" borderId="1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1" fontId="0" fillId="33" borderId="0" applyAlignment="1" pivotButton="0" quotePrefix="0" xfId="0">
      <alignment horizontal="center" vertical="center" wrapText="1"/>
    </xf>
    <xf numFmtId="0" fontId="0" fillId="35" borderId="20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165" fontId="0" fillId="35" borderId="20" applyAlignment="1" pivotButton="0" quotePrefix="0" xfId="0">
      <alignment horizontal="center" vertical="center" wrapText="1"/>
    </xf>
    <xf numFmtId="165" fontId="0" fillId="34" borderId="17" applyAlignment="1" pivotButton="0" quotePrefix="0" xfId="0">
      <alignment horizontal="center" vertical="center" wrapText="1"/>
    </xf>
    <xf numFmtId="165" fontId="0" fillId="34" borderId="10" applyAlignment="1" pivotButton="0" quotePrefix="0" xfId="0">
      <alignment horizontal="center" vertical="center" wrapText="1"/>
    </xf>
    <xf numFmtId="165" fontId="0" fillId="34" borderId="10" applyAlignment="1" pivotButton="0" quotePrefix="0" xfId="0">
      <alignment horizontal="center" vertical="center" wrapText="1"/>
    </xf>
    <xf numFmtId="165" fontId="0" fillId="34" borderId="16" applyAlignment="1" pivotButton="0" quotePrefix="0" xfId="0">
      <alignment horizontal="center" vertical="center" wrapText="1"/>
    </xf>
    <xf numFmtId="1" fontId="0" fillId="35" borderId="10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166" fontId="0" fillId="0" borderId="10" applyAlignment="1" pivotButton="0" quotePrefix="0" xfId="0">
      <alignment horizontal="center" vertical="center" wrapText="1"/>
    </xf>
    <xf numFmtId="166" fontId="0" fillId="38" borderId="10" applyAlignment="1" pivotButton="0" quotePrefix="0" xfId="0">
      <alignment horizontal="center" vertical="center" wrapText="1"/>
    </xf>
    <xf numFmtId="166" fontId="0" fillId="36" borderId="10" applyAlignment="1" pivotButton="0" quotePrefix="0" xfId="0">
      <alignment horizontal="center" vertical="center" wrapText="1"/>
    </xf>
    <xf numFmtId="166" fontId="0" fillId="0" borderId="10" applyAlignment="1" pivotButton="0" quotePrefix="0" xfId="0">
      <alignment horizontal="center" vertical="center" wrapText="1"/>
    </xf>
    <xf numFmtId="166" fontId="0" fillId="38" borderId="10" applyAlignment="1" pivotButton="0" quotePrefix="0" xfId="0">
      <alignment horizontal="center" vertical="center" wrapText="1"/>
    </xf>
    <xf numFmtId="166" fontId="0" fillId="36" borderId="1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166" fontId="0" fillId="39" borderId="10" applyAlignment="1" pivotButton="0" quotePrefix="0" xfId="0">
      <alignment horizontal="center" vertical="center" wrapText="1"/>
    </xf>
    <xf numFmtId="166" fontId="0" fillId="39" borderId="10" applyAlignment="1" pivotButton="0" quotePrefix="0" xfId="0">
      <alignment horizontal="center" vertical="center" wrapText="1"/>
    </xf>
    <xf numFmtId="166" fontId="0" fillId="39" borderId="0" applyAlignment="1" pivotButton="0" quotePrefix="0" xfId="0">
      <alignment horizontal="center" vertical="center" wrapText="1"/>
    </xf>
    <xf numFmtId="166" fontId="0" fillId="37" borderId="20" applyAlignment="1" pivotButton="0" quotePrefix="0" xfId="0">
      <alignment horizontal="center" vertical="center" wrapText="1"/>
    </xf>
    <xf numFmtId="166" fontId="0" fillId="37" borderId="10" applyAlignment="1" pivotButton="0" quotePrefix="0" xfId="0">
      <alignment horizontal="center" vertical="center" wrapText="1"/>
    </xf>
    <xf numFmtId="166" fontId="0" fillId="37" borderId="0" applyAlignment="1" pivotButton="0" quotePrefix="0" xfId="0">
      <alignment horizontal="center" vertical="center" wrapText="1"/>
    </xf>
    <xf numFmtId="9" fontId="0" fillId="35" borderId="20" applyAlignment="1" pivotButton="0" quotePrefix="0" xfId="0">
      <alignment horizontal="center" vertical="center" wrapText="1"/>
    </xf>
    <xf numFmtId="9" fontId="0" fillId="35" borderId="10" applyAlignment="1" pivotButton="0" quotePrefix="0" xfId="0">
      <alignment horizontal="center" vertical="center" wrapText="1"/>
    </xf>
    <xf numFmtId="9" fontId="0" fillId="35" borderId="0" applyAlignment="1" pivotButton="0" quotePrefix="0" xfId="0">
      <alignment horizontal="center" vertical="center" wrapText="1"/>
    </xf>
    <xf numFmtId="166" fontId="0" fillId="37" borderId="10" applyAlignment="1" pivotButton="0" quotePrefix="0" xfId="0">
      <alignment horizontal="center" vertical="center" wrapText="1"/>
    </xf>
    <xf numFmtId="9" fontId="0" fillId="35" borderId="10" applyAlignment="1" pivotButton="0" quotePrefix="0" xfId="0">
      <alignment horizontal="center" vertical="center" wrapText="1"/>
    </xf>
    <xf numFmtId="49" fontId="0" fillId="0" borderId="20" applyAlignment="1" pivotButton="0" quotePrefix="0" xfId="0">
      <alignment horizontal="center" vertical="center" wrapText="1"/>
    </xf>
    <xf numFmtId="165" fontId="0" fillId="34" borderId="20" applyAlignment="1" pivotButton="0" quotePrefix="0" xfId="0">
      <alignment horizontal="center" vertical="center" wrapText="1"/>
    </xf>
    <xf numFmtId="166" fontId="0" fillId="0" borderId="20" applyAlignment="1" pivotButton="0" quotePrefix="0" xfId="0">
      <alignment horizontal="center" vertical="center" wrapText="1"/>
    </xf>
    <xf numFmtId="166" fontId="0" fillId="38" borderId="20" applyAlignment="1" pivotButton="0" quotePrefix="0" xfId="0">
      <alignment horizontal="center" vertical="center" wrapText="1"/>
    </xf>
    <xf numFmtId="166" fontId="0" fillId="39" borderId="20" applyAlignment="1" pivotButton="0" quotePrefix="0" xfId="0">
      <alignment horizontal="center" vertical="center" wrapText="1"/>
    </xf>
    <xf numFmtId="166" fontId="0" fillId="36" borderId="20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65" fontId="0" fillId="0" borderId="17" applyAlignment="1" pivotButton="0" quotePrefix="0" xfId="0">
      <alignment horizontal="center" vertical="center" wrapText="1"/>
    </xf>
    <xf numFmtId="164" fontId="0" fillId="35" borderId="17" applyAlignment="1" pivotButton="0" quotePrefix="0" xfId="0">
      <alignment horizontal="center" vertical="center" wrapText="1"/>
    </xf>
    <xf numFmtId="1" fontId="0" fillId="0" borderId="17" applyAlignment="1" pivotButton="0" quotePrefix="0" xfId="0">
      <alignment horizontal="center" vertical="center" wrapText="1"/>
    </xf>
    <xf numFmtId="1" fontId="0" fillId="38" borderId="17" applyAlignment="1" pivotButton="0" quotePrefix="0" xfId="0">
      <alignment horizontal="center" vertical="center" wrapText="1"/>
    </xf>
    <xf numFmtId="166" fontId="0" fillId="0" borderId="17" applyAlignment="1" pivotButton="0" quotePrefix="0" xfId="0">
      <alignment horizontal="center" vertical="center" wrapText="1"/>
    </xf>
    <xf numFmtId="166" fontId="0" fillId="38" borderId="17" applyAlignment="1" pivotButton="0" quotePrefix="0" xfId="0">
      <alignment horizontal="center" vertical="center" wrapText="1"/>
    </xf>
    <xf numFmtId="166" fontId="0" fillId="39" borderId="17" applyAlignment="1" pivotButton="0" quotePrefix="0" xfId="0">
      <alignment horizontal="center" vertical="center" wrapText="1"/>
    </xf>
    <xf numFmtId="166" fontId="0" fillId="36" borderId="17" applyAlignment="1" pivotButton="0" quotePrefix="0" xfId="0">
      <alignment horizontal="center" vertical="center" wrapText="1"/>
    </xf>
    <xf numFmtId="166" fontId="0" fillId="37" borderId="17" applyAlignment="1" pivotButton="0" quotePrefix="0" xfId="0">
      <alignment horizontal="center" vertical="center" wrapText="1"/>
    </xf>
    <xf numFmtId="9" fontId="0" fillId="35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64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65" fontId="0" fillId="0" borderId="19" applyAlignment="1" pivotButton="0" quotePrefix="0" xfId="0">
      <alignment horizontal="center" vertical="center" wrapText="1"/>
    </xf>
    <xf numFmtId="164" fontId="0" fillId="35" borderId="19" applyAlignment="1" pivotButton="0" quotePrefix="0" xfId="0">
      <alignment horizontal="center" vertical="center" wrapText="1"/>
    </xf>
    <xf numFmtId="1" fontId="0" fillId="0" borderId="19" applyAlignment="1" pivotButton="0" quotePrefix="0" xfId="0">
      <alignment horizontal="center" vertical="center" wrapText="1"/>
    </xf>
    <xf numFmtId="165" fontId="0" fillId="34" borderId="19" applyAlignment="1" pivotButton="0" quotePrefix="0" xfId="0">
      <alignment horizontal="center" vertical="center" wrapText="1"/>
    </xf>
    <xf numFmtId="166" fontId="0" fillId="0" borderId="19" applyAlignment="1" pivotButton="0" quotePrefix="0" xfId="0">
      <alignment horizontal="center" vertical="center" wrapText="1"/>
    </xf>
    <xf numFmtId="166" fontId="0" fillId="38" borderId="19" applyAlignment="1" pivotButton="0" quotePrefix="0" xfId="0">
      <alignment horizontal="center" vertical="center" wrapText="1"/>
    </xf>
    <xf numFmtId="166" fontId="0" fillId="39" borderId="19" applyAlignment="1" pivotButton="0" quotePrefix="0" xfId="0">
      <alignment horizontal="center" vertical="center" wrapText="1"/>
    </xf>
    <xf numFmtId="166" fontId="0" fillId="36" borderId="19" applyAlignment="1" pivotButton="0" quotePrefix="0" xfId="0">
      <alignment horizontal="center" vertical="center" wrapText="1"/>
    </xf>
    <xf numFmtId="166" fontId="0" fillId="37" borderId="19" applyAlignment="1" pivotButton="0" quotePrefix="0" xfId="0">
      <alignment horizontal="center" vertical="center" wrapText="1"/>
    </xf>
    <xf numFmtId="9" fontId="0" fillId="35" borderId="1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66" fontId="0" fillId="40" borderId="17" applyAlignment="1" pivotButton="0" quotePrefix="0" xfId="0">
      <alignment horizontal="center" vertical="center" wrapText="1"/>
    </xf>
    <xf numFmtId="166" fontId="0" fillId="40" borderId="0" applyAlignment="1" pivotButton="0" quotePrefix="0" xfId="0">
      <alignment horizontal="center" vertical="center" wrapText="1"/>
    </xf>
    <xf numFmtId="166" fontId="0" fillId="40" borderId="10" applyAlignment="1" pivotButton="0" quotePrefix="0" xfId="0">
      <alignment horizontal="center" vertical="center" wrapText="1"/>
    </xf>
    <xf numFmtId="166" fontId="0" fillId="40" borderId="20" applyAlignment="1" pivotButton="0" quotePrefix="0" xfId="0">
      <alignment horizontal="center" vertical="center" wrapText="1"/>
    </xf>
    <xf numFmtId="165" fontId="0" fillId="34" borderId="1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166" fontId="0" fillId="39" borderId="0" applyAlignment="1" pivotButton="0" quotePrefix="0" xfId="0">
      <alignment horizontal="center" vertical="center" wrapText="1"/>
    </xf>
    <xf numFmtId="166" fontId="0" fillId="40" borderId="0" applyAlignment="1" pivotButton="0" quotePrefix="0" xfId="0">
      <alignment horizontal="center" vertical="center" wrapText="1"/>
    </xf>
    <xf numFmtId="166" fontId="0" fillId="37" borderId="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8" pivotButton="0" quotePrefix="0" xfId="0"/>
    <xf numFmtId="0" fontId="0" fillId="0" borderId="29" pivotButton="0" quotePrefix="0" xfId="0"/>
    <xf numFmtId="166" fontId="0" fillId="0" borderId="10" applyAlignment="1" pivotButton="0" quotePrefix="0" xfId="0">
      <alignment horizontal="center" vertical="center" wrapText="1"/>
    </xf>
    <xf numFmtId="166" fontId="0" fillId="38" borderId="10" applyAlignment="1" pivotButton="0" quotePrefix="0" xfId="0">
      <alignment horizontal="center" vertical="center" wrapText="1"/>
    </xf>
    <xf numFmtId="166" fontId="0" fillId="39" borderId="10" applyAlignment="1" pivotButton="0" quotePrefix="0" xfId="0">
      <alignment horizontal="center" vertical="center" wrapText="1"/>
    </xf>
    <xf numFmtId="166" fontId="0" fillId="40" borderId="10" applyAlignment="1" pivotButton="0" quotePrefix="0" xfId="0">
      <alignment horizontal="center" vertical="center" wrapText="1"/>
    </xf>
    <xf numFmtId="166" fontId="0" fillId="36" borderId="10" applyAlignment="1" pivotButton="0" quotePrefix="0" xfId="0">
      <alignment horizontal="center" vertical="center" wrapText="1"/>
    </xf>
    <xf numFmtId="166" fontId="0" fillId="37" borderId="1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16" pivotButton="0" quotePrefix="0" xfId="0"/>
    <xf numFmtId="165" fontId="0" fillId="35" borderId="20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 wrapText="1"/>
    </xf>
    <xf numFmtId="165" fontId="0" fillId="0" borderId="17" applyAlignment="1" pivotButton="0" quotePrefix="0" xfId="0">
      <alignment horizontal="center" vertical="center" wrapText="1"/>
    </xf>
    <xf numFmtId="164" fontId="0" fillId="35" borderId="17" applyAlignment="1" pivotButton="0" quotePrefix="0" xfId="0">
      <alignment horizontal="center" vertical="center" wrapText="1"/>
    </xf>
    <xf numFmtId="165" fontId="0" fillId="34" borderId="17" applyAlignment="1" pivotButton="0" quotePrefix="0" xfId="0">
      <alignment horizontal="center" vertical="center" wrapText="1"/>
    </xf>
    <xf numFmtId="166" fontId="0" fillId="0" borderId="17" applyAlignment="1" pivotButton="0" quotePrefix="0" xfId="0">
      <alignment horizontal="center" vertical="center" wrapText="1"/>
    </xf>
    <xf numFmtId="166" fontId="0" fillId="38" borderId="17" applyAlignment="1" pivotButton="0" quotePrefix="0" xfId="0">
      <alignment horizontal="center" vertical="center" wrapText="1"/>
    </xf>
    <xf numFmtId="166" fontId="0" fillId="39" borderId="17" applyAlignment="1" pivotButton="0" quotePrefix="0" xfId="0">
      <alignment horizontal="center" vertical="center" wrapText="1"/>
    </xf>
    <xf numFmtId="166" fontId="0" fillId="40" borderId="17" applyAlignment="1" pivotButton="0" quotePrefix="0" xfId="0">
      <alignment horizontal="center" vertical="center" wrapText="1"/>
    </xf>
    <xf numFmtId="166" fontId="0" fillId="36" borderId="17" applyAlignment="1" pivotButton="0" quotePrefix="0" xfId="0">
      <alignment horizontal="center" vertical="center" wrapText="1"/>
    </xf>
    <xf numFmtId="166" fontId="0" fillId="37" borderId="17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4" fontId="0" fillId="35" borderId="10" applyAlignment="1" pivotButton="0" quotePrefix="0" xfId="0">
      <alignment horizontal="center" vertical="center" wrapText="1"/>
    </xf>
    <xf numFmtId="164" fontId="0" fillId="0" borderId="19" applyAlignment="1" pivotButton="0" quotePrefix="0" xfId="0">
      <alignment horizontal="center" vertical="center" wrapText="1"/>
    </xf>
    <xf numFmtId="165" fontId="0" fillId="0" borderId="19" applyAlignment="1" pivotButton="0" quotePrefix="0" xfId="0">
      <alignment horizontal="center" vertical="center" wrapText="1"/>
    </xf>
    <xf numFmtId="164" fontId="0" fillId="35" borderId="19" applyAlignment="1" pivotButton="0" quotePrefix="0" xfId="0">
      <alignment horizontal="center" vertical="center" wrapText="1"/>
    </xf>
    <xf numFmtId="165" fontId="0" fillId="34" borderId="19" applyAlignment="1" pivotButton="0" quotePrefix="0" xfId="0">
      <alignment horizontal="center" vertical="center" wrapText="1"/>
    </xf>
    <xf numFmtId="166" fontId="0" fillId="0" borderId="19" applyAlignment="1" pivotButton="0" quotePrefix="0" xfId="0">
      <alignment horizontal="center" vertical="center" wrapText="1"/>
    </xf>
    <xf numFmtId="166" fontId="0" fillId="38" borderId="19" applyAlignment="1" pivotButton="0" quotePrefix="0" xfId="0">
      <alignment horizontal="center" vertical="center" wrapText="1"/>
    </xf>
    <xf numFmtId="166" fontId="0" fillId="39" borderId="19" applyAlignment="1" pivotButton="0" quotePrefix="0" xfId="0">
      <alignment horizontal="center" vertical="center" wrapText="1"/>
    </xf>
    <xf numFmtId="166" fontId="0" fillId="36" borderId="19" applyAlignment="1" pivotButton="0" quotePrefix="0" xfId="0">
      <alignment horizontal="center" vertical="center" wrapText="1"/>
    </xf>
    <xf numFmtId="166" fontId="0" fillId="37" borderId="19" applyAlignment="1" pivotButton="0" quotePrefix="0" xfId="0">
      <alignment horizontal="center" vertical="center" wrapText="1"/>
    </xf>
    <xf numFmtId="165" fontId="0" fillId="34" borderId="16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I271"/>
  <sheetViews>
    <sheetView tabSelected="1" zoomScale="110" zoomScaleNormal="110" workbookViewId="0">
      <selection activeCell="A1" sqref="A1:AQ126"/>
    </sheetView>
  </sheetViews>
  <sheetFormatPr baseColWidth="8" defaultRowHeight="14.5"/>
  <cols>
    <col width="8.7265625" customWidth="1" style="11" min="1" max="1"/>
    <col width="46.6328125" customWidth="1" style="11" min="2" max="2"/>
    <col hidden="1" width="12.6328125" customWidth="1" style="11" min="3" max="3"/>
    <col hidden="1" width="14.54296875" customWidth="1" style="11" min="4" max="4"/>
    <col hidden="1" width="11.54296875" customWidth="1" style="11" min="5" max="5"/>
    <col hidden="1" width="15.90625" customWidth="1" style="11" min="6" max="6"/>
    <col hidden="1" width="13.6328125" customWidth="1" style="11" min="7" max="7"/>
    <col hidden="1" width="16.7265625" customWidth="1" style="11" min="8" max="8"/>
    <col hidden="1" width="21" customWidth="1" style="11" min="9" max="9"/>
    <col hidden="1" width="12.81640625" customWidth="1" style="11" min="10" max="10"/>
    <col hidden="1" width="18" customWidth="1" style="11" min="11" max="12"/>
    <col hidden="1" width="8.7265625" customWidth="1" style="6" min="13" max="13"/>
    <col hidden="1" width="6.1796875" customWidth="1" style="11" min="14" max="14"/>
    <col hidden="1" width="11" customWidth="1" style="11" min="15" max="15"/>
    <col hidden="1" width="8.453125" customWidth="1" style="24" min="16" max="32"/>
    <col hidden="1" width="12" customWidth="1" style="94" min="33" max="33"/>
    <col hidden="1" width="9.1796875" customWidth="1" style="95" min="34" max="34"/>
    <col width="16.81640625" customWidth="1" style="95" min="35" max="35"/>
    <col width="15.54296875" customWidth="1" style="96" min="36" max="36"/>
    <col width="15.54296875" customWidth="1" style="97" min="37" max="37"/>
    <col width="16.08984375" customWidth="1" style="95" min="38" max="38"/>
    <col hidden="1" width="14" customWidth="1" style="98" min="39" max="39"/>
    <col hidden="1" width="15.08984375" customWidth="1" style="53" min="40" max="40"/>
    <col width="16.90625" customWidth="1" style="98" min="41" max="41"/>
    <col width="14.54296875" customWidth="1" style="11" min="42" max="42"/>
    <col width="11.08984375" customWidth="1" style="11" min="43" max="43"/>
    <col width="8.7265625" customWidth="1" style="11" min="44" max="48"/>
    <col width="12.54296875" customWidth="1" style="11" min="49" max="49"/>
    <col width="8.7265625" customWidth="1" style="11" min="50" max="16384"/>
  </cols>
  <sheetData>
    <row r="1" ht="29" customHeight="1">
      <c r="A1" s="36" t="inlineStr">
        <is>
          <t>ltem</t>
        </is>
      </c>
      <c r="B1" s="99" t="n"/>
      <c r="C1" s="36" t="inlineStr">
        <is>
          <t>Product SKU</t>
        </is>
      </c>
      <c r="D1" s="36" t="inlineStr">
        <is>
          <t>Case Price</t>
        </is>
      </c>
      <c r="E1" s="36" t="inlineStr">
        <is>
          <t>Single Price</t>
        </is>
      </c>
      <c r="F1" s="36" t="inlineStr">
        <is>
          <t>Case Quantity</t>
        </is>
      </c>
      <c r="G1" s="36" t="inlineStr">
        <is>
          <t>Sleeve Quantity</t>
        </is>
      </c>
      <c r="H1" s="36" t="inlineStr">
        <is>
          <t>Single Quantity</t>
        </is>
      </c>
      <c r="I1" s="36" t="inlineStr">
        <is>
          <t>Total Units</t>
        </is>
      </c>
      <c r="J1" s="36" t="inlineStr">
        <is>
          <t>Totals</t>
        </is>
      </c>
      <c r="K1" s="36" t="inlineStr">
        <is>
          <t>Correct Price</t>
        </is>
      </c>
      <c r="L1" s="36" t="inlineStr">
        <is>
          <t>Purchase Tax</t>
        </is>
      </c>
      <c r="M1" s="17" t="inlineStr">
        <is>
          <t>mL</t>
        </is>
      </c>
      <c r="N1" s="36" t="inlineStr">
        <is>
          <t>oz</t>
        </is>
      </c>
      <c r="O1" s="8" t="inlineStr">
        <is>
          <t>1 oz (Cost)</t>
        </is>
      </c>
      <c r="P1" s="33" t="inlineStr">
        <is>
          <t>Mark ups multiplier</t>
        </is>
      </c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1" t="n"/>
      <c r="AG1" s="94" t="inlineStr">
        <is>
          <t>Mark Up Multiplier</t>
        </is>
      </c>
      <c r="AH1" s="102" t="inlineStr">
        <is>
          <t>Toast Price 1 oz</t>
        </is>
      </c>
      <c r="AI1" s="103" t="inlineStr">
        <is>
          <t>Toast Price (Cocktails, standard) 1.5 oz</t>
        </is>
      </c>
      <c r="AJ1" s="104" t="inlineStr">
        <is>
          <t>Toast Price 2 oz (Neat, Rocks Pour)</t>
        </is>
      </c>
      <c r="AK1" s="105" t="inlineStr">
        <is>
          <t>Toast Price 2 oz (Neat, Rocks Pour) Big Ice crystal</t>
        </is>
      </c>
      <c r="AL1" s="106" t="inlineStr">
        <is>
          <t>Toast Price 2.5 oz (Martini Pour)</t>
        </is>
      </c>
      <c r="AM1" s="107" t="inlineStr">
        <is>
          <t>Bottle Price based on 1 oz</t>
        </is>
      </c>
      <c r="AN1" s="55" t="inlineStr">
        <is>
          <t>Bottle Percentage Discount</t>
        </is>
      </c>
      <c r="AO1" s="107" t="inlineStr">
        <is>
          <t>Toast Bottle price</t>
        </is>
      </c>
      <c r="AP1" s="36" t="inlineStr">
        <is>
          <t>Age</t>
        </is>
      </c>
      <c r="AQ1" s="36" t="inlineStr">
        <is>
          <t>Sub Category</t>
        </is>
      </c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</row>
    <row r="2" ht="25" customHeight="1" thickBot="1">
      <c r="A2" s="108" t="n"/>
      <c r="B2" s="109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0" t="n"/>
      <c r="O2" s="110" t="n"/>
      <c r="P2" s="111" t="n">
        <v>2</v>
      </c>
      <c r="Q2" s="111" t="n">
        <v>2.5</v>
      </c>
      <c r="R2" s="111" t="n">
        <v>3</v>
      </c>
      <c r="S2" s="111" t="n">
        <v>3.5</v>
      </c>
      <c r="T2" s="111" t="n">
        <v>4</v>
      </c>
      <c r="U2" s="111" t="n">
        <v>4.5</v>
      </c>
      <c r="V2" s="111" t="n">
        <v>5</v>
      </c>
      <c r="W2" s="111" t="n">
        <v>5.5</v>
      </c>
      <c r="X2" s="111" t="n">
        <v>6</v>
      </c>
      <c r="Y2" s="111" t="n">
        <v>6.5</v>
      </c>
      <c r="Z2" s="111" t="n">
        <v>7</v>
      </c>
      <c r="AA2" s="111" t="n">
        <v>7.5</v>
      </c>
      <c r="AB2" s="111" t="n">
        <v>8</v>
      </c>
      <c r="AC2" s="111" t="n">
        <v>8.5</v>
      </c>
      <c r="AD2" s="111" t="n">
        <v>9</v>
      </c>
      <c r="AE2" s="111" t="n">
        <v>9.5</v>
      </c>
      <c r="AF2" s="111" t="n">
        <v>10</v>
      </c>
      <c r="AG2" s="110" t="n"/>
      <c r="AH2" s="110" t="n"/>
      <c r="AI2" s="110" t="n"/>
      <c r="AJ2" s="110" t="n"/>
      <c r="AK2" s="110" t="n"/>
      <c r="AL2" s="110" t="n"/>
      <c r="AM2" s="110" t="n"/>
      <c r="AN2" s="110" t="n"/>
      <c r="AO2" s="110" t="n"/>
      <c r="AP2" s="110" t="n"/>
      <c r="AQ2" s="110" t="n"/>
    </row>
    <row r="3" ht="15" customHeight="1" thickBot="1">
      <c r="A3" s="18" t="n">
        <v>1</v>
      </c>
      <c r="B3" s="63" t="inlineStr">
        <is>
          <t xml:space="preserve">Clase Azul   </t>
        </is>
      </c>
      <c r="C3" s="63" t="n">
        <v>18320009</v>
      </c>
      <c r="D3" s="112" t="n">
        <v>457.58</v>
      </c>
      <c r="E3" s="112" t="n">
        <v>457.58</v>
      </c>
      <c r="F3" s="63" t="n">
        <v>2</v>
      </c>
      <c r="G3" s="63" t="n">
        <v>0</v>
      </c>
      <c r="H3" s="63" t="n">
        <v>2</v>
      </c>
      <c r="I3" s="63" t="n">
        <v>8</v>
      </c>
      <c r="J3" s="112" t="n">
        <v>3665.88</v>
      </c>
      <c r="K3" s="63" t="n">
        <v>3660.64</v>
      </c>
      <c r="L3" s="112">
        <f>(E3+(15%*E3))</f>
        <v/>
      </c>
      <c r="M3" s="63" t="n">
        <v>750</v>
      </c>
      <c r="N3" s="113">
        <f>(M3/29.5735)</f>
        <v/>
      </c>
      <c r="O3" s="114">
        <f>(L3/N3)</f>
        <v/>
      </c>
      <c r="P3" s="66">
        <f>($O3*P$2)</f>
        <v/>
      </c>
      <c r="Q3" s="66">
        <f>($O3*Q$2)</f>
        <v/>
      </c>
      <c r="R3" s="66">
        <f>($O3*R$2)</f>
        <v/>
      </c>
      <c r="S3" s="67">
        <f>($O3*S$2)</f>
        <v/>
      </c>
      <c r="T3" s="66">
        <f>($O3*T$2)</f>
        <v/>
      </c>
      <c r="U3" s="66">
        <f>($O3*U$2)</f>
        <v/>
      </c>
      <c r="V3" s="66">
        <f>($O3*V$2)</f>
        <v/>
      </c>
      <c r="W3" s="66">
        <f>($O3*W$2)</f>
        <v/>
      </c>
      <c r="X3" s="66">
        <f>($O3*X$2)</f>
        <v/>
      </c>
      <c r="Y3" s="66">
        <f>($O3*Y$2)</f>
        <v/>
      </c>
      <c r="Z3" s="66">
        <f>($O3*Z$2)</f>
        <v/>
      </c>
      <c r="AA3" s="66">
        <f>($O3*AA$2)</f>
        <v/>
      </c>
      <c r="AB3" s="66">
        <f>($O3*AB$2)</f>
        <v/>
      </c>
      <c r="AC3" s="66">
        <f>($O3*AC$2)</f>
        <v/>
      </c>
      <c r="AD3" s="66">
        <f>($O3*AD$2)</f>
        <v/>
      </c>
      <c r="AE3" s="66">
        <f>($O3*AE$2)</f>
        <v/>
      </c>
      <c r="AF3" s="66">
        <f>($O3*AF$2)</f>
        <v/>
      </c>
      <c r="AG3" s="115">
        <f>(AH3/O3)</f>
        <v/>
      </c>
      <c r="AH3" s="116" t="n">
        <v>64</v>
      </c>
      <c r="AI3" s="117">
        <f>(AH3*1.5)</f>
        <v/>
      </c>
      <c r="AJ3" s="118">
        <f>(AH3*2)</f>
        <v/>
      </c>
      <c r="AK3" s="119">
        <f>(AJ3+2)</f>
        <v/>
      </c>
      <c r="AL3" s="120">
        <f>(AH3*2.5)</f>
        <v/>
      </c>
      <c r="AM3" s="121">
        <f>(AH3*N3)*0.7</f>
        <v/>
      </c>
      <c r="AN3" s="73">
        <f>(1-(AO3)/(AH3*N3))</f>
        <v/>
      </c>
      <c r="AO3" s="121">
        <f>FLOOR(AM3,100)</f>
        <v/>
      </c>
      <c r="AP3" s="63" t="inlineStr">
        <is>
          <t>Anejo</t>
        </is>
      </c>
      <c r="AQ3" s="74" t="n"/>
    </row>
    <row r="4" ht="15" customHeight="1" thickBot="1">
      <c r="A4" s="75">
        <f>(A3+1)</f>
        <v/>
      </c>
      <c r="B4" s="36" t="inlineStr">
        <is>
          <t xml:space="preserve">Grand Mayan Limited Edition Ultra   </t>
        </is>
      </c>
      <c r="C4" s="36" t="n">
        <v>53107370</v>
      </c>
      <c r="D4" s="122" t="n">
        <v>0</v>
      </c>
      <c r="E4" s="122" t="n">
        <v>187.93</v>
      </c>
      <c r="F4" s="36" t="n">
        <v>0</v>
      </c>
      <c r="G4" s="36" t="n">
        <v>0</v>
      </c>
      <c r="H4" s="36" t="n">
        <v>1</v>
      </c>
      <c r="I4" s="36" t="n">
        <v>1</v>
      </c>
      <c r="J4" s="122" t="n">
        <v>187.93</v>
      </c>
      <c r="K4" s="36" t="n">
        <v>187.93</v>
      </c>
      <c r="L4" s="122">
        <f>(E4+(15%*E4))</f>
        <v/>
      </c>
      <c r="M4" s="36" t="n">
        <v>750</v>
      </c>
      <c r="N4" s="123">
        <f>(M4/29.5735)</f>
        <v/>
      </c>
      <c r="O4" s="124">
        <f>(L4/N4)</f>
        <v/>
      </c>
      <c r="P4" s="23">
        <f>($O4*P$2)</f>
        <v/>
      </c>
      <c r="Q4" s="23">
        <f>($O4*Q$2)</f>
        <v/>
      </c>
      <c r="R4" s="23">
        <f>($O4*R$2)</f>
        <v/>
      </c>
      <c r="S4" s="23">
        <f>($O4*S$2)</f>
        <v/>
      </c>
      <c r="T4" s="13">
        <f>($O4*T$2)</f>
        <v/>
      </c>
      <c r="U4" s="13">
        <f>($O4*U$2)</f>
        <v/>
      </c>
      <c r="V4" s="23">
        <f>($O4*V$2)</f>
        <v/>
      </c>
      <c r="W4" s="23">
        <f>($O4*W$2)</f>
        <v/>
      </c>
      <c r="X4" s="23">
        <f>($O4*X$2)</f>
        <v/>
      </c>
      <c r="Y4" s="23">
        <f>($O4*Y$2)</f>
        <v/>
      </c>
      <c r="Z4" s="23">
        <f>($O4*Z$2)</f>
        <v/>
      </c>
      <c r="AA4" s="23">
        <f>($O4*AA$2)</f>
        <v/>
      </c>
      <c r="AB4" s="23">
        <f>($O4*AB$2)</f>
        <v/>
      </c>
      <c r="AC4" s="23">
        <f>($O4*AC$2)</f>
        <v/>
      </c>
      <c r="AD4" s="23">
        <f>($O4*AD$2)</f>
        <v/>
      </c>
      <c r="AE4" s="23">
        <f>($O4*AE$2)</f>
        <v/>
      </c>
      <c r="AF4" s="23">
        <f>($O4*AF$2)</f>
        <v/>
      </c>
      <c r="AG4" s="94">
        <f>(AH4/O4)</f>
        <v/>
      </c>
      <c r="AH4" s="102" t="n">
        <v>37</v>
      </c>
      <c r="AI4" s="103">
        <f>(AH4*1.5)</f>
        <v/>
      </c>
      <c r="AJ4" s="104">
        <f>(AH4*2)</f>
        <v/>
      </c>
      <c r="AK4" s="119">
        <f>(AJ4+2)</f>
        <v/>
      </c>
      <c r="AL4" s="106">
        <f>(AH4*2.5)</f>
        <v/>
      </c>
      <c r="AM4" s="107">
        <f>(AH4*N4)*0.7</f>
        <v/>
      </c>
      <c r="AN4" s="55">
        <f>(1-(AO4)/(AH4*N4))</f>
        <v/>
      </c>
      <c r="AO4" s="107">
        <f>FLOOR(AM4,100)</f>
        <v/>
      </c>
      <c r="AP4" s="36" t="inlineStr">
        <is>
          <t>Anejo</t>
        </is>
      </c>
      <c r="AQ4" s="76" t="n"/>
    </row>
    <row r="5" ht="15" customFormat="1" customHeight="1" s="3" thickBot="1">
      <c r="A5" s="75">
        <f>(A4+1)</f>
        <v/>
      </c>
      <c r="B5" s="36" t="inlineStr">
        <is>
          <t xml:space="preserve">Komos  Reserva  </t>
        </is>
      </c>
      <c r="C5" s="36" t="n">
        <v>594140</v>
      </c>
      <c r="D5" s="122" t="n">
        <v>0</v>
      </c>
      <c r="E5" s="122" t="n">
        <v>122.57</v>
      </c>
      <c r="F5" s="36" t="n">
        <v>0</v>
      </c>
      <c r="G5" s="36" t="n">
        <v>0</v>
      </c>
      <c r="H5" s="36" t="n">
        <v>1</v>
      </c>
      <c r="I5" s="36" t="n">
        <v>1</v>
      </c>
      <c r="J5" s="122" t="n">
        <v>125.19</v>
      </c>
      <c r="K5" s="36" t="n">
        <v>122.57</v>
      </c>
      <c r="L5" s="122">
        <f>(E5+(15%*E5))</f>
        <v/>
      </c>
      <c r="M5" s="36" t="n">
        <v>750</v>
      </c>
      <c r="N5" s="123">
        <f>(M5/29.5735)</f>
        <v/>
      </c>
      <c r="O5" s="124">
        <f>(L5/N5)</f>
        <v/>
      </c>
      <c r="P5" s="23">
        <f>($O5*P$2)</f>
        <v/>
      </c>
      <c r="Q5" s="23">
        <f>($O5*Q$2)</f>
        <v/>
      </c>
      <c r="R5" s="23">
        <f>($O5*R$2)</f>
        <v/>
      </c>
      <c r="S5" s="23">
        <f>($O5*S$2)</f>
        <v/>
      </c>
      <c r="T5" s="23">
        <f>($O5*T$2)</f>
        <v/>
      </c>
      <c r="U5" s="23">
        <f>($O5*U$2)</f>
        <v/>
      </c>
      <c r="V5" s="23">
        <f>($O5*V$2)</f>
        <v/>
      </c>
      <c r="W5" s="23">
        <f>($O5*W$2)</f>
        <v/>
      </c>
      <c r="X5" s="13">
        <f>($O5*X$2)</f>
        <v/>
      </c>
      <c r="Y5" s="23">
        <f>($O5*Y$2)</f>
        <v/>
      </c>
      <c r="Z5" s="23">
        <f>($O5*Z$2)</f>
        <v/>
      </c>
      <c r="AA5" s="23">
        <f>($O5*AA$2)</f>
        <v/>
      </c>
      <c r="AB5" s="23">
        <f>($O5*AB$2)</f>
        <v/>
      </c>
      <c r="AC5" s="23">
        <f>($O5*AC$2)</f>
        <v/>
      </c>
      <c r="AD5" s="23">
        <f>($O5*AD$2)</f>
        <v/>
      </c>
      <c r="AE5" s="23">
        <f>($O5*AE$2)</f>
        <v/>
      </c>
      <c r="AF5" s="23">
        <f>($O5*AF$2)</f>
        <v/>
      </c>
      <c r="AG5" s="94">
        <f>(AH5/O5)</f>
        <v/>
      </c>
      <c r="AH5" s="102" t="n">
        <v>36</v>
      </c>
      <c r="AI5" s="103">
        <f>(AH5*1.5)</f>
        <v/>
      </c>
      <c r="AJ5" s="104">
        <f>(AH5*2)</f>
        <v/>
      </c>
      <c r="AK5" s="119">
        <f>(AJ5+2)</f>
        <v/>
      </c>
      <c r="AL5" s="106">
        <f>(AH5*2.5)</f>
        <v/>
      </c>
      <c r="AM5" s="107">
        <f>(AH5*N5)*0.7</f>
        <v/>
      </c>
      <c r="AN5" s="55">
        <f>(1-(AO5)/(AH5*N5))</f>
        <v/>
      </c>
      <c r="AO5" s="107">
        <f>FLOOR(AM5,100)</f>
        <v/>
      </c>
      <c r="AP5" s="36" t="inlineStr">
        <is>
          <t>Anejo</t>
        </is>
      </c>
      <c r="AQ5" s="76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</row>
    <row r="6" ht="15" customFormat="1" customHeight="1" s="3" thickBot="1">
      <c r="A6" s="75">
        <f>(A5+1)</f>
        <v/>
      </c>
      <c r="B6" s="36" t="inlineStr">
        <is>
          <t xml:space="preserve">Herradura Legend   </t>
        </is>
      </c>
      <c r="C6" s="36" t="n">
        <v>594234</v>
      </c>
      <c r="D6" s="122" t="n">
        <v>98.05</v>
      </c>
      <c r="E6" s="122" t="n">
        <v>122.57</v>
      </c>
      <c r="F6" s="36" t="n">
        <v>1</v>
      </c>
      <c r="G6" s="36" t="n">
        <v>0</v>
      </c>
      <c r="H6" s="36" t="n">
        <v>0</v>
      </c>
      <c r="I6" s="36" t="n">
        <v>4</v>
      </c>
      <c r="J6" s="122" t="n">
        <v>392.19</v>
      </c>
      <c r="K6" s="36" t="n">
        <v>392.19</v>
      </c>
      <c r="L6" s="122">
        <f>(E6+(15%*E6))</f>
        <v/>
      </c>
      <c r="M6" s="36" t="n">
        <v>750</v>
      </c>
      <c r="N6" s="123">
        <f>(M6/29.5735)</f>
        <v/>
      </c>
      <c r="O6" s="124">
        <f>(L6/N6)</f>
        <v/>
      </c>
      <c r="P6" s="23">
        <f>($O6*P$2)</f>
        <v/>
      </c>
      <c r="Q6" s="23">
        <f>($O6*Q$2)</f>
        <v/>
      </c>
      <c r="R6" s="23">
        <f>($O6*R$2)</f>
        <v/>
      </c>
      <c r="S6" s="23">
        <f>($O6*S$2)</f>
        <v/>
      </c>
      <c r="T6" s="23">
        <f>($O6*T$2)</f>
        <v/>
      </c>
      <c r="U6" s="23">
        <f>($O6*U$2)</f>
        <v/>
      </c>
      <c r="V6" s="23">
        <f>($O6*V$2)</f>
        <v/>
      </c>
      <c r="W6" s="23">
        <f>($O6*W$2)</f>
        <v/>
      </c>
      <c r="X6" s="13">
        <f>($O6*X$2)</f>
        <v/>
      </c>
      <c r="Y6" s="23">
        <f>($O6*Y$2)</f>
        <v/>
      </c>
      <c r="Z6" s="23">
        <f>($O6*Z$2)</f>
        <v/>
      </c>
      <c r="AA6" s="23">
        <f>($O6*AA$2)</f>
        <v/>
      </c>
      <c r="AB6" s="23">
        <f>($O6*AB$2)</f>
        <v/>
      </c>
      <c r="AC6" s="23">
        <f>($O6*AC$2)</f>
        <v/>
      </c>
      <c r="AD6" s="23">
        <f>($O6*AD$2)</f>
        <v/>
      </c>
      <c r="AE6" s="23">
        <f>($O6*AE$2)</f>
        <v/>
      </c>
      <c r="AF6" s="23">
        <f>($O6*AF$2)</f>
        <v/>
      </c>
      <c r="AG6" s="94">
        <f>(AH6/O6)</f>
        <v/>
      </c>
      <c r="AH6" s="102" t="n">
        <v>35</v>
      </c>
      <c r="AI6" s="103">
        <f>(AH6*1.5)</f>
        <v/>
      </c>
      <c r="AJ6" s="104">
        <f>(AH6*2)</f>
        <v/>
      </c>
      <c r="AK6" s="119">
        <f>(AJ6+2)</f>
        <v/>
      </c>
      <c r="AL6" s="106">
        <f>(AH6*2.5)</f>
        <v/>
      </c>
      <c r="AM6" s="107">
        <f>(AH6*N6)*0.7</f>
        <v/>
      </c>
      <c r="AN6" s="55">
        <f>(1-(AO6)/(AH6*N6))</f>
        <v/>
      </c>
      <c r="AO6" s="107">
        <f>FLOOR(AM6,100)</f>
        <v/>
      </c>
      <c r="AP6" s="36" t="inlineStr">
        <is>
          <t>Anejo</t>
        </is>
      </c>
      <c r="AQ6" s="76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</row>
    <row r="7" ht="15" customHeight="1" thickBot="1">
      <c r="A7" s="75">
        <f>(A6+1)</f>
        <v/>
      </c>
      <c r="B7" s="36" t="inlineStr">
        <is>
          <t xml:space="preserve">Atanasio   </t>
        </is>
      </c>
      <c r="C7" s="36" t="n">
        <v>602034</v>
      </c>
      <c r="D7" s="122" t="n">
        <v>0</v>
      </c>
      <c r="E7" s="122" t="n">
        <v>99.09999999999999</v>
      </c>
      <c r="F7" s="36" t="n">
        <v>0</v>
      </c>
      <c r="G7" s="36" t="n">
        <v>0</v>
      </c>
      <c r="H7" s="36" t="n">
        <v>1</v>
      </c>
      <c r="I7" s="36" t="n">
        <v>1</v>
      </c>
      <c r="J7" s="122" t="n">
        <v>99.09999999999999</v>
      </c>
      <c r="K7" s="36" t="n">
        <v>99.09999999999999</v>
      </c>
      <c r="L7" s="122">
        <f>(E7+(15%*E7))</f>
        <v/>
      </c>
      <c r="M7" s="36" t="n">
        <v>750</v>
      </c>
      <c r="N7" s="123">
        <f>(M7/29.5735)</f>
        <v/>
      </c>
      <c r="O7" s="124">
        <f>(L7/N7)</f>
        <v/>
      </c>
      <c r="P7" s="23">
        <f>($O7*P$2)</f>
        <v/>
      </c>
      <c r="Q7" s="23">
        <f>($O7*Q$2)</f>
        <v/>
      </c>
      <c r="R7" s="23">
        <f>($O7*R$2)</f>
        <v/>
      </c>
      <c r="S7" s="23">
        <f>($O7*S$2)</f>
        <v/>
      </c>
      <c r="T7" s="23">
        <f>($O7*T$2)</f>
        <v/>
      </c>
      <c r="U7" s="23">
        <f>($O7*U$2)</f>
        <v/>
      </c>
      <c r="V7" s="23">
        <f>($O7*V$2)</f>
        <v/>
      </c>
      <c r="W7" s="23">
        <f>($O7*W$2)</f>
        <v/>
      </c>
      <c r="X7" s="23">
        <f>($O7*X$2)</f>
        <v/>
      </c>
      <c r="Y7" s="23">
        <f>($O7*Y$2)</f>
        <v/>
      </c>
      <c r="Z7" s="13">
        <f>($O7*Z$2)</f>
        <v/>
      </c>
      <c r="AA7" s="23">
        <f>($O7*AA$2)</f>
        <v/>
      </c>
      <c r="AB7" s="23">
        <f>($O7*AB$2)</f>
        <v/>
      </c>
      <c r="AC7" s="23">
        <f>($O7*AC$2)</f>
        <v/>
      </c>
      <c r="AD7" s="23">
        <f>($O7*AD$2)</f>
        <v/>
      </c>
      <c r="AE7" s="23">
        <f>($O7*AE$2)</f>
        <v/>
      </c>
      <c r="AF7" s="23">
        <f>($O7*AF$2)</f>
        <v/>
      </c>
      <c r="AG7" s="94">
        <f>(AH7/O7)</f>
        <v/>
      </c>
      <c r="AH7" s="102" t="n">
        <v>32</v>
      </c>
      <c r="AI7" s="103">
        <f>(AH7*1.5)</f>
        <v/>
      </c>
      <c r="AJ7" s="104">
        <f>(AH7*2)</f>
        <v/>
      </c>
      <c r="AK7" s="119">
        <f>(AJ7+2)</f>
        <v/>
      </c>
      <c r="AL7" s="106">
        <f>(AH7*2.5)</f>
        <v/>
      </c>
      <c r="AM7" s="107">
        <f>(AH7*N7)*0.7</f>
        <v/>
      </c>
      <c r="AN7" s="55">
        <f>(1-(AO7)/(AH7*N7))</f>
        <v/>
      </c>
      <c r="AO7" s="107">
        <f>FLOOR(AM7,100)</f>
        <v/>
      </c>
      <c r="AP7" s="36" t="inlineStr">
        <is>
          <t>Anejo</t>
        </is>
      </c>
      <c r="AQ7" s="76" t="n"/>
    </row>
    <row r="8" ht="15" customFormat="1" customHeight="1" s="3" thickBot="1">
      <c r="A8" s="75">
        <f>(A7+1)</f>
        <v/>
      </c>
      <c r="B8" s="36" t="inlineStr">
        <is>
          <t xml:space="preserve">Nueveuno Organic   </t>
        </is>
      </c>
      <c r="C8" s="36" t="n">
        <v>30327009</v>
      </c>
      <c r="D8" s="122" t="n">
        <v>0</v>
      </c>
      <c r="E8" s="122" t="n">
        <v>79.61</v>
      </c>
      <c r="F8" s="36" t="n">
        <v>0</v>
      </c>
      <c r="G8" s="36" t="n">
        <v>0</v>
      </c>
      <c r="H8" s="36" t="n">
        <v>1</v>
      </c>
      <c r="I8" s="36" t="n">
        <v>1</v>
      </c>
      <c r="J8" s="122" t="n">
        <v>82.23999999999999</v>
      </c>
      <c r="K8" s="36" t="n">
        <v>79.61</v>
      </c>
      <c r="L8" s="122">
        <f>(E8+(15%*E8))</f>
        <v/>
      </c>
      <c r="M8" s="36" t="n">
        <v>750</v>
      </c>
      <c r="N8" s="123">
        <f>(M8/29.5735)</f>
        <v/>
      </c>
      <c r="O8" s="124">
        <f>(L8/N8)</f>
        <v/>
      </c>
      <c r="P8" s="23">
        <f>($O8*P$2)</f>
        <v/>
      </c>
      <c r="Q8" s="23">
        <f>($O8*Q$2)</f>
        <v/>
      </c>
      <c r="R8" s="23">
        <f>($O8*R$2)</f>
        <v/>
      </c>
      <c r="S8" s="23">
        <f>($O8*S$2)</f>
        <v/>
      </c>
      <c r="T8" s="23">
        <f>($O8*T$2)</f>
        <v/>
      </c>
      <c r="U8" s="23">
        <f>($O8*U$2)</f>
        <v/>
      </c>
      <c r="V8" s="23">
        <f>($O8*V$2)</f>
        <v/>
      </c>
      <c r="W8" s="23">
        <f>($O8*W$2)</f>
        <v/>
      </c>
      <c r="X8" s="23">
        <f>($O8*X$2)</f>
        <v/>
      </c>
      <c r="Y8" s="23">
        <f>($O8*Y$2)</f>
        <v/>
      </c>
      <c r="Z8" s="23">
        <f>($O8*Z$2)</f>
        <v/>
      </c>
      <c r="AA8" s="13">
        <f>($O8*AA$2)</f>
        <v/>
      </c>
      <c r="AB8" s="23">
        <f>($O8*AB$2)</f>
        <v/>
      </c>
      <c r="AC8" s="23">
        <f>($O8*AC$2)</f>
        <v/>
      </c>
      <c r="AD8" s="23">
        <f>($O8*AD$2)</f>
        <v/>
      </c>
      <c r="AE8" s="23">
        <f>($O8*AE$2)</f>
        <v/>
      </c>
      <c r="AF8" s="23">
        <f>($O8*AF$2)</f>
        <v/>
      </c>
      <c r="AG8" s="94">
        <f>(AH8/O8)</f>
        <v/>
      </c>
      <c r="AH8" s="102" t="n">
        <v>29</v>
      </c>
      <c r="AI8" s="103">
        <f>(AH8*1.5)</f>
        <v/>
      </c>
      <c r="AJ8" s="104">
        <f>(AH8*2)</f>
        <v/>
      </c>
      <c r="AK8" s="119">
        <f>(AJ8+2)</f>
        <v/>
      </c>
      <c r="AL8" s="106">
        <f>(AH8*2.5)</f>
        <v/>
      </c>
      <c r="AM8" s="107">
        <f>(AH8*N8)*0.7</f>
        <v/>
      </c>
      <c r="AN8" s="55">
        <f>(1-(AO8)/(AH8*N8))</f>
        <v/>
      </c>
      <c r="AO8" s="107">
        <f>FLOOR(AM8,100)</f>
        <v/>
      </c>
      <c r="AP8" s="36" t="inlineStr">
        <is>
          <t>Anejo</t>
        </is>
      </c>
      <c r="AQ8" s="76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</row>
    <row r="9" ht="15" customHeight="1" thickBot="1">
      <c r="A9" s="75">
        <f>(A8+1)</f>
        <v/>
      </c>
      <c r="B9" s="36" t="inlineStr">
        <is>
          <t xml:space="preserve">Amatitena   </t>
        </is>
      </c>
      <c r="C9" s="36" t="n">
        <v>400420</v>
      </c>
      <c r="D9" s="122" t="n">
        <v>0</v>
      </c>
      <c r="E9" s="122" t="n">
        <v>80.84999999999999</v>
      </c>
      <c r="F9" s="36" t="n">
        <v>0</v>
      </c>
      <c r="G9" s="36" t="n">
        <v>0</v>
      </c>
      <c r="H9" s="36" t="n">
        <v>1</v>
      </c>
      <c r="I9" s="36" t="n">
        <v>1</v>
      </c>
      <c r="J9" s="122" t="n">
        <v>80.84999999999999</v>
      </c>
      <c r="K9" s="36" t="n">
        <v>78.75</v>
      </c>
      <c r="L9" s="122">
        <f>(E9+(15%*E9))</f>
        <v/>
      </c>
      <c r="M9" s="36" t="n">
        <v>750</v>
      </c>
      <c r="N9" s="123">
        <f>(M9/29.5735)</f>
        <v/>
      </c>
      <c r="O9" s="124">
        <f>(L9/N9)</f>
        <v/>
      </c>
      <c r="P9" s="23">
        <f>($O9*P$2)</f>
        <v/>
      </c>
      <c r="Q9" s="23">
        <f>($O9*Q$2)</f>
        <v/>
      </c>
      <c r="R9" s="23">
        <f>($O9*R$2)</f>
        <v/>
      </c>
      <c r="S9" s="23">
        <f>($O9*S$2)</f>
        <v/>
      </c>
      <c r="T9" s="23">
        <f>($O9*T$2)</f>
        <v/>
      </c>
      <c r="U9" s="23">
        <f>($O9*U$2)</f>
        <v/>
      </c>
      <c r="V9" s="23">
        <f>($O9*V$2)</f>
        <v/>
      </c>
      <c r="W9" s="23">
        <f>($O9*W$2)</f>
        <v/>
      </c>
      <c r="X9" s="23">
        <f>($O9*X$2)</f>
        <v/>
      </c>
      <c r="Y9" s="23">
        <f>($O9*Y$2)</f>
        <v/>
      </c>
      <c r="Z9" s="23">
        <f>($O9*Z$2)</f>
        <v/>
      </c>
      <c r="AA9" s="13">
        <f>($O9*AA$2)</f>
        <v/>
      </c>
      <c r="AB9" s="23">
        <f>($O9*AB$2)</f>
        <v/>
      </c>
      <c r="AC9" s="23">
        <f>($O9*AC$2)</f>
        <v/>
      </c>
      <c r="AD9" s="23">
        <f>($O9*AD$2)</f>
        <v/>
      </c>
      <c r="AE9" s="23">
        <f>($O9*AE$2)</f>
        <v/>
      </c>
      <c r="AF9" s="23">
        <f>($O9*AF$2)</f>
        <v/>
      </c>
      <c r="AG9" s="94">
        <f>(AH9/O9)</f>
        <v/>
      </c>
      <c r="AH9" s="102" t="n">
        <v>29</v>
      </c>
      <c r="AI9" s="103">
        <f>(AH9*1.5)</f>
        <v/>
      </c>
      <c r="AJ9" s="104">
        <f>(AH9*2)</f>
        <v/>
      </c>
      <c r="AK9" s="119">
        <f>(AJ9+2)</f>
        <v/>
      </c>
      <c r="AL9" s="106">
        <f>(AH9*2.5)</f>
        <v/>
      </c>
      <c r="AM9" s="107">
        <f>(AH9*N9)*0.7</f>
        <v/>
      </c>
      <c r="AN9" s="55">
        <f>(1-(AO9)/(AH9*N9))</f>
        <v/>
      </c>
      <c r="AO9" s="107">
        <f>FLOOR(AM9,100)</f>
        <v/>
      </c>
      <c r="AP9" s="36" t="inlineStr">
        <is>
          <t>Anejo</t>
        </is>
      </c>
      <c r="AQ9" s="76" t="n"/>
    </row>
    <row r="10" ht="15" customHeight="1" thickBot="1">
      <c r="A10" s="75">
        <f>(A9+1)</f>
        <v/>
      </c>
      <c r="B10" s="36" t="inlineStr">
        <is>
          <t xml:space="preserve">El Tesoro   </t>
        </is>
      </c>
      <c r="C10" s="36" t="n">
        <v>911821</v>
      </c>
      <c r="D10" s="122" t="n">
        <v>0</v>
      </c>
      <c r="E10" s="122" t="n">
        <v>74.15000000000001</v>
      </c>
      <c r="F10" s="36" t="n">
        <v>0</v>
      </c>
      <c r="G10" s="36" t="n">
        <v>0</v>
      </c>
      <c r="H10" s="36" t="n">
        <v>1</v>
      </c>
      <c r="I10" s="36" t="n">
        <v>1</v>
      </c>
      <c r="J10" s="122" t="n">
        <v>76.78</v>
      </c>
      <c r="K10" s="36" t="n">
        <v>74.15000000000001</v>
      </c>
      <c r="L10" s="122">
        <f>(E10+(15%*E10))</f>
        <v/>
      </c>
      <c r="M10" s="36" t="n">
        <v>750</v>
      </c>
      <c r="N10" s="123">
        <f>(M10/29.5735)</f>
        <v/>
      </c>
      <c r="O10" s="124">
        <f>(L10/N10)</f>
        <v/>
      </c>
      <c r="P10" s="23">
        <f>($O10*P$2)</f>
        <v/>
      </c>
      <c r="Q10" s="23">
        <f>($O10*Q$2)</f>
        <v/>
      </c>
      <c r="R10" s="23">
        <f>($O10*R$2)</f>
        <v/>
      </c>
      <c r="S10" s="23">
        <f>($O10*S$2)</f>
        <v/>
      </c>
      <c r="T10" s="23">
        <f>($O10*T$2)</f>
        <v/>
      </c>
      <c r="U10" s="23">
        <f>($O10*U$2)</f>
        <v/>
      </c>
      <c r="V10" s="23">
        <f>($O10*V$2)</f>
        <v/>
      </c>
      <c r="W10" s="23">
        <f>($O10*W$2)</f>
        <v/>
      </c>
      <c r="X10" s="23">
        <f>($O10*X$2)</f>
        <v/>
      </c>
      <c r="Y10" s="23">
        <f>($O10*Y$2)</f>
        <v/>
      </c>
      <c r="Z10" s="23">
        <f>($O10*Z$2)</f>
        <v/>
      </c>
      <c r="AA10" s="23">
        <f>($O10*AA$2)</f>
        <v/>
      </c>
      <c r="AB10" s="13">
        <f>($O10*AB$2)</f>
        <v/>
      </c>
      <c r="AC10" s="23">
        <f>($O10*AC$2)</f>
        <v/>
      </c>
      <c r="AD10" s="23">
        <f>($O10*AD$2)</f>
        <v/>
      </c>
      <c r="AE10" s="23">
        <f>($O10*AE$2)</f>
        <v/>
      </c>
      <c r="AF10" s="23">
        <f>($O10*AF$2)</f>
        <v/>
      </c>
      <c r="AG10" s="94">
        <f>(AH10/O10)</f>
        <v/>
      </c>
      <c r="AH10" s="102" t="n">
        <v>29</v>
      </c>
      <c r="AI10" s="103">
        <f>(AH10*1.5)</f>
        <v/>
      </c>
      <c r="AJ10" s="104">
        <f>(AH10*2)</f>
        <v/>
      </c>
      <c r="AK10" s="119">
        <f>(AJ10+2)</f>
        <v/>
      </c>
      <c r="AL10" s="106">
        <f>(AH10*2.5)</f>
        <v/>
      </c>
      <c r="AM10" s="107">
        <f>(AH10*N10)*0.7</f>
        <v/>
      </c>
      <c r="AN10" s="55">
        <f>(1-(AO10)/(AH10*N10))</f>
        <v/>
      </c>
      <c r="AO10" s="107">
        <f>FLOOR(AM10,100)</f>
        <v/>
      </c>
      <c r="AP10" s="36" t="inlineStr">
        <is>
          <t>Anejo</t>
        </is>
      </c>
      <c r="AQ10" s="76" t="n"/>
    </row>
    <row r="11" ht="15" customFormat="1" customHeight="1" s="3" thickBot="1">
      <c r="A11" s="75">
        <f>(A10+1)</f>
        <v/>
      </c>
      <c r="B11" s="36" t="inlineStr">
        <is>
          <t xml:space="preserve">Sangre De Vida   </t>
        </is>
      </c>
      <c r="C11" s="36" t="n">
        <v>30204020</v>
      </c>
      <c r="D11" s="122" t="n">
        <v>0</v>
      </c>
      <c r="E11" s="122" t="n">
        <v>73.25</v>
      </c>
      <c r="F11" s="36" t="n">
        <v>0</v>
      </c>
      <c r="G11" s="36" t="n">
        <v>0</v>
      </c>
      <c r="H11" s="36" t="n">
        <v>1</v>
      </c>
      <c r="I11" s="36" t="n">
        <v>1</v>
      </c>
      <c r="J11" s="122" t="n">
        <v>74.81999999999999</v>
      </c>
      <c r="K11" s="36" t="n">
        <v>73.25</v>
      </c>
      <c r="L11" s="122">
        <f>(E11+(15%*E11))</f>
        <v/>
      </c>
      <c r="M11" s="36" t="n">
        <v>750</v>
      </c>
      <c r="N11" s="123">
        <f>(M11/29.5735)</f>
        <v/>
      </c>
      <c r="O11" s="124">
        <f>(L11/N11)</f>
        <v/>
      </c>
      <c r="P11" s="23">
        <f>($O11*P$2)</f>
        <v/>
      </c>
      <c r="Q11" s="23">
        <f>($O11*Q$2)</f>
        <v/>
      </c>
      <c r="R11" s="23">
        <f>($O11*R$2)</f>
        <v/>
      </c>
      <c r="S11" s="23">
        <f>($O11*S$2)</f>
        <v/>
      </c>
      <c r="T11" s="23">
        <f>($O11*T$2)</f>
        <v/>
      </c>
      <c r="U11" s="23">
        <f>($O11*U$2)</f>
        <v/>
      </c>
      <c r="V11" s="23">
        <f>($O11*V$2)</f>
        <v/>
      </c>
      <c r="W11" s="23">
        <f>($O11*W$2)</f>
        <v/>
      </c>
      <c r="X11" s="23">
        <f>($O11*X$2)</f>
        <v/>
      </c>
      <c r="Y11" s="23">
        <f>($O11*Y$2)</f>
        <v/>
      </c>
      <c r="Z11" s="23">
        <f>($O11*Z$2)</f>
        <v/>
      </c>
      <c r="AA11" s="23">
        <f>($O11*AA$2)</f>
        <v/>
      </c>
      <c r="AB11" s="13">
        <f>($O11*AB$2)</f>
        <v/>
      </c>
      <c r="AC11" s="23">
        <f>($O11*AC$2)</f>
        <v/>
      </c>
      <c r="AD11" s="23">
        <f>($O11*AD$2)</f>
        <v/>
      </c>
      <c r="AE11" s="23">
        <f>($O11*AE$2)</f>
        <v/>
      </c>
      <c r="AF11" s="23">
        <f>($O11*AF$2)</f>
        <v/>
      </c>
      <c r="AG11" s="94">
        <f>(AH11/O11)</f>
        <v/>
      </c>
      <c r="AH11" s="102" t="n">
        <v>29</v>
      </c>
      <c r="AI11" s="103">
        <f>(AH11*1.5)</f>
        <v/>
      </c>
      <c r="AJ11" s="104">
        <f>(AH11*2)</f>
        <v/>
      </c>
      <c r="AK11" s="119">
        <f>(AJ11+2)</f>
        <v/>
      </c>
      <c r="AL11" s="106">
        <f>(AH11*2.5)</f>
        <v/>
      </c>
      <c r="AM11" s="107">
        <f>(AH11*N11)*0.7</f>
        <v/>
      </c>
      <c r="AN11" s="55">
        <f>(1-(AO11)/(AH11*N11))</f>
        <v/>
      </c>
      <c r="AO11" s="107">
        <f>FLOOR(AM11,100)</f>
        <v/>
      </c>
      <c r="AP11" s="36" t="inlineStr">
        <is>
          <t>Anejo</t>
        </is>
      </c>
      <c r="AQ11" s="76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n"/>
      <c r="CD11" s="11" t="n"/>
      <c r="CE11" s="11" t="n"/>
      <c r="CF11" s="11" t="n"/>
      <c r="CG11" s="11" t="n"/>
      <c r="CH11" s="11" t="n"/>
      <c r="CI11" s="11" t="n"/>
    </row>
    <row r="12" ht="15" customFormat="1" customHeight="1" s="3" thickBot="1">
      <c r="A12" s="75">
        <f>(A11+1)</f>
        <v/>
      </c>
      <c r="B12" s="36" t="inlineStr">
        <is>
          <t xml:space="preserve">Arette Artisanal    </t>
        </is>
      </c>
      <c r="C12" s="36" t="n">
        <v>114001</v>
      </c>
      <c r="D12" s="122" t="n">
        <v>0</v>
      </c>
      <c r="E12" s="122" t="n">
        <v>74.81</v>
      </c>
      <c r="F12" s="36" t="n">
        <v>0</v>
      </c>
      <c r="G12" s="36" t="n">
        <v>0</v>
      </c>
      <c r="H12" s="36" t="n">
        <v>1</v>
      </c>
      <c r="I12" s="36" t="n">
        <v>1</v>
      </c>
      <c r="J12" s="122" t="n">
        <v>74.81</v>
      </c>
      <c r="K12" s="36" t="n">
        <v>74.81</v>
      </c>
      <c r="L12" s="122">
        <f>(E12+(15%*E12))</f>
        <v/>
      </c>
      <c r="M12" s="36" t="n">
        <v>750</v>
      </c>
      <c r="N12" s="123">
        <f>(M12/29.5735)</f>
        <v/>
      </c>
      <c r="O12" s="124">
        <f>(L12/N12)</f>
        <v/>
      </c>
      <c r="P12" s="23">
        <f>($O12*P$2)</f>
        <v/>
      </c>
      <c r="Q12" s="23">
        <f>($O12*Q$2)</f>
        <v/>
      </c>
      <c r="R12" s="23">
        <f>($O12*R$2)</f>
        <v/>
      </c>
      <c r="S12" s="23">
        <f>($O12*S$2)</f>
        <v/>
      </c>
      <c r="T12" s="23">
        <f>($O12*T$2)</f>
        <v/>
      </c>
      <c r="U12" s="23">
        <f>($O12*U$2)</f>
        <v/>
      </c>
      <c r="V12" s="23">
        <f>($O12*V$2)</f>
        <v/>
      </c>
      <c r="W12" s="23">
        <f>($O12*W$2)</f>
        <v/>
      </c>
      <c r="X12" s="23">
        <f>($O12*X$2)</f>
        <v/>
      </c>
      <c r="Y12" s="23">
        <f>($O12*Y$2)</f>
        <v/>
      </c>
      <c r="Z12" s="23">
        <f>($O12*Z$2)</f>
        <v/>
      </c>
      <c r="AA12" s="23">
        <f>($O12*AA$2)</f>
        <v/>
      </c>
      <c r="AB12" s="23">
        <f>($O12*AB$2)</f>
        <v/>
      </c>
      <c r="AC12" s="13">
        <f>($O12*AC$2)</f>
        <v/>
      </c>
      <c r="AD12" s="23">
        <f>($O12*AD$2)</f>
        <v/>
      </c>
      <c r="AE12" s="23">
        <f>($O12*AE$2)</f>
        <v/>
      </c>
      <c r="AF12" s="23">
        <f>($O12*AF$2)</f>
        <v/>
      </c>
      <c r="AG12" s="94">
        <f>(AH12/O12)</f>
        <v/>
      </c>
      <c r="AH12" s="102" t="n">
        <v>29</v>
      </c>
      <c r="AI12" s="103">
        <f>(AH12*1.5)</f>
        <v/>
      </c>
      <c r="AJ12" s="104">
        <f>(AH12*2)</f>
        <v/>
      </c>
      <c r="AK12" s="119">
        <f>(AJ12+2)</f>
        <v/>
      </c>
      <c r="AL12" s="106">
        <f>(AH12*2.5)</f>
        <v/>
      </c>
      <c r="AM12" s="107">
        <f>(AH12*N12)*0.7</f>
        <v/>
      </c>
      <c r="AN12" s="55">
        <f>(1-(AO12)/(AH12*N12))</f>
        <v/>
      </c>
      <c r="AO12" s="107">
        <f>FLOOR(AM12,100)</f>
        <v/>
      </c>
      <c r="AP12" s="36" t="inlineStr">
        <is>
          <t>Anejo</t>
        </is>
      </c>
      <c r="AQ12" s="76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n"/>
      <c r="CD12" s="11" t="n"/>
      <c r="CE12" s="11" t="n"/>
      <c r="CF12" s="11" t="n"/>
      <c r="CG12" s="11" t="n"/>
      <c r="CH12" s="11" t="n"/>
      <c r="CI12" s="11" t="n"/>
    </row>
    <row r="13" ht="15" customHeight="1" thickBot="1">
      <c r="A13" s="75">
        <f>(A12+1)</f>
        <v/>
      </c>
      <c r="B13" s="36" t="inlineStr">
        <is>
          <t xml:space="preserve">ArteNOM 1146   </t>
        </is>
      </c>
      <c r="C13" s="36" t="n">
        <v>19918009</v>
      </c>
      <c r="D13" s="122" t="n">
        <v>0</v>
      </c>
      <c r="E13" s="122" t="n">
        <v>72.14</v>
      </c>
      <c r="F13" s="36" t="n">
        <v>0</v>
      </c>
      <c r="G13" s="36" t="n">
        <v>0</v>
      </c>
      <c r="H13" s="36" t="n">
        <v>2</v>
      </c>
      <c r="I13" s="36" t="n">
        <v>2</v>
      </c>
      <c r="J13" s="122" t="n">
        <v>149.46</v>
      </c>
      <c r="K13" s="36" t="n">
        <v>144.28</v>
      </c>
      <c r="L13" s="122">
        <f>(E13+(15%*E13))</f>
        <v/>
      </c>
      <c r="M13" s="36" t="n">
        <v>750</v>
      </c>
      <c r="N13" s="123">
        <f>(M13/29.5735)</f>
        <v/>
      </c>
      <c r="O13" s="124">
        <f>(L13/N13)</f>
        <v/>
      </c>
      <c r="P13" s="23">
        <f>($O13*P$2)</f>
        <v/>
      </c>
      <c r="Q13" s="23">
        <f>($O13*Q$2)</f>
        <v/>
      </c>
      <c r="R13" s="23">
        <f>($O13*R$2)</f>
        <v/>
      </c>
      <c r="S13" s="23">
        <f>($O13*S$2)</f>
        <v/>
      </c>
      <c r="T13" s="23">
        <f>($O13*T$2)</f>
        <v/>
      </c>
      <c r="U13" s="23">
        <f>($O13*U$2)</f>
        <v/>
      </c>
      <c r="V13" s="23">
        <f>($O13*V$2)</f>
        <v/>
      </c>
      <c r="W13" s="23">
        <f>($O13*W$2)</f>
        <v/>
      </c>
      <c r="X13" s="23">
        <f>($O13*X$2)</f>
        <v/>
      </c>
      <c r="Y13" s="23">
        <f>($O13*Y$2)</f>
        <v/>
      </c>
      <c r="Z13" s="23">
        <f>($O13*Z$2)</f>
        <v/>
      </c>
      <c r="AA13" s="23">
        <f>($O13*AA$2)</f>
        <v/>
      </c>
      <c r="AB13" s="23">
        <f>($O13*AB$2)</f>
        <v/>
      </c>
      <c r="AC13" s="13">
        <f>($O13*AC$2)</f>
        <v/>
      </c>
      <c r="AD13" s="23">
        <f>($O13*AD$2)</f>
        <v/>
      </c>
      <c r="AE13" s="23">
        <f>($O13*AE$2)</f>
        <v/>
      </c>
      <c r="AF13" s="23">
        <f>($O13*AF$2)</f>
        <v/>
      </c>
      <c r="AG13" s="94">
        <f>(AH13/O13)</f>
        <v/>
      </c>
      <c r="AH13" s="102" t="n">
        <v>29</v>
      </c>
      <c r="AI13" s="103">
        <f>(AH13*1.5)</f>
        <v/>
      </c>
      <c r="AJ13" s="104">
        <f>(AH13*2)</f>
        <v/>
      </c>
      <c r="AK13" s="119">
        <f>(AJ13+2)</f>
        <v/>
      </c>
      <c r="AL13" s="106">
        <f>(AH13*2.5)</f>
        <v/>
      </c>
      <c r="AM13" s="107">
        <f>(AH13*N13)*0.7</f>
        <v/>
      </c>
      <c r="AN13" s="55">
        <f>(1-(AO13)/(AH13*N13))</f>
        <v/>
      </c>
      <c r="AO13" s="107">
        <f>FLOOR(AM13,100)</f>
        <v/>
      </c>
      <c r="AP13" s="36" t="inlineStr">
        <is>
          <t>Anejo</t>
        </is>
      </c>
      <c r="AQ13" s="76" t="n"/>
    </row>
    <row r="14" ht="15" customFormat="1" customHeight="1" s="3" thickBot="1">
      <c r="A14" s="75">
        <f>(A13+1)</f>
        <v/>
      </c>
      <c r="B14" s="36" t="inlineStr">
        <is>
          <t xml:space="preserve">Corralejo Gran Reserva   </t>
        </is>
      </c>
      <c r="C14" s="36" t="n">
        <v>24135007</v>
      </c>
      <c r="D14" s="122" t="n">
        <v>0</v>
      </c>
      <c r="E14" s="122" t="n">
        <v>96.59</v>
      </c>
      <c r="F14" s="36" t="n">
        <v>0</v>
      </c>
      <c r="G14" s="36" t="n">
        <v>0</v>
      </c>
      <c r="H14" s="36" t="n">
        <v>1</v>
      </c>
      <c r="I14" s="36" t="n">
        <v>1</v>
      </c>
      <c r="J14" s="122" t="n">
        <v>96.59</v>
      </c>
      <c r="K14" s="36" t="n">
        <v>96.05</v>
      </c>
      <c r="L14" s="122">
        <f>(E14+(15%*E14))</f>
        <v/>
      </c>
      <c r="M14" s="36" t="n">
        <v>1000</v>
      </c>
      <c r="N14" s="123">
        <f>(M14/29.5735)</f>
        <v/>
      </c>
      <c r="O14" s="124">
        <f>(L14/N14)</f>
        <v/>
      </c>
      <c r="P14" s="23">
        <f>($O14*P$2)</f>
        <v/>
      </c>
      <c r="Q14" s="23">
        <f>($O14*Q$2)</f>
        <v/>
      </c>
      <c r="R14" s="23">
        <f>($O14*R$2)</f>
        <v/>
      </c>
      <c r="S14" s="23">
        <f>($O14*S$2)</f>
        <v/>
      </c>
      <c r="T14" s="23">
        <f>($O14*T$2)</f>
        <v/>
      </c>
      <c r="U14" s="23">
        <f>($O14*U$2)</f>
        <v/>
      </c>
      <c r="V14" s="23">
        <f>($O14*V$2)</f>
        <v/>
      </c>
      <c r="W14" s="23">
        <f>($O14*W$2)</f>
        <v/>
      </c>
      <c r="X14" s="23">
        <f>($O14*X$2)</f>
        <v/>
      </c>
      <c r="Y14" s="23">
        <f>($O14*Y$2)</f>
        <v/>
      </c>
      <c r="Z14" s="23">
        <f>($O14*Z$2)</f>
        <v/>
      </c>
      <c r="AA14" s="23">
        <f>($O14*AA$2)</f>
        <v/>
      </c>
      <c r="AB14" s="23">
        <f>($O14*AB$2)</f>
        <v/>
      </c>
      <c r="AC14" s="23">
        <f>($O14*AC$2)</f>
        <v/>
      </c>
      <c r="AD14" s="13">
        <f>($O14*AD$2)</f>
        <v/>
      </c>
      <c r="AE14" s="23">
        <f>($O14*AE$2)</f>
        <v/>
      </c>
      <c r="AF14" s="23">
        <f>($O14*AF$2)</f>
        <v/>
      </c>
      <c r="AG14" s="94">
        <f>(AH14/O14)</f>
        <v/>
      </c>
      <c r="AH14" s="102" t="n">
        <v>28</v>
      </c>
      <c r="AI14" s="103">
        <f>(AH14*1.5)</f>
        <v/>
      </c>
      <c r="AJ14" s="104">
        <f>(AH14*2)</f>
        <v/>
      </c>
      <c r="AK14" s="119">
        <f>(AJ14+2)</f>
        <v/>
      </c>
      <c r="AL14" s="106">
        <f>(AH14*2.5)</f>
        <v/>
      </c>
      <c r="AM14" s="107">
        <f>(AH14*N14)*0.7</f>
        <v/>
      </c>
      <c r="AN14" s="55">
        <f>(1-(AO14)/(AH14*N14))</f>
        <v/>
      </c>
      <c r="AO14" s="107">
        <f>FLOOR(AM14,100)</f>
        <v/>
      </c>
      <c r="AP14" s="36" t="inlineStr">
        <is>
          <t>Anejo</t>
        </is>
      </c>
      <c r="AQ14" s="76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n"/>
      <c r="CD14" s="11" t="n"/>
      <c r="CE14" s="11" t="n"/>
      <c r="CF14" s="11" t="n"/>
      <c r="CG14" s="11" t="n"/>
      <c r="CH14" s="11" t="n"/>
      <c r="CI14" s="11" t="n"/>
    </row>
    <row r="15" ht="15" customHeight="1" thickBot="1">
      <c r="A15" s="75">
        <f>(A14+1)</f>
        <v/>
      </c>
      <c r="B15" s="36" t="inlineStr">
        <is>
          <t xml:space="preserve">Excellia   </t>
        </is>
      </c>
      <c r="C15" s="36" t="n">
        <v>400245</v>
      </c>
      <c r="D15" s="122" t="n">
        <v>0</v>
      </c>
      <c r="E15" s="122" t="n">
        <v>65.09999999999999</v>
      </c>
      <c r="F15" s="36" t="n">
        <v>0</v>
      </c>
      <c r="G15" s="36" t="n">
        <v>0</v>
      </c>
      <c r="H15" s="36" t="n">
        <v>1</v>
      </c>
      <c r="I15" s="36" t="n">
        <v>1</v>
      </c>
      <c r="J15" s="122" t="n">
        <v>67.2</v>
      </c>
      <c r="K15" s="36" t="n">
        <v>65.09999999999999</v>
      </c>
      <c r="L15" s="122">
        <f>(E15+(15%*E15))</f>
        <v/>
      </c>
      <c r="M15" s="36" t="n">
        <v>750</v>
      </c>
      <c r="N15" s="123">
        <f>(M15/29.5735)</f>
        <v/>
      </c>
      <c r="O15" s="124">
        <f>(L15/N15)</f>
        <v/>
      </c>
      <c r="P15" s="23">
        <f>($O15*P$2)</f>
        <v/>
      </c>
      <c r="Q15" s="23">
        <f>($O15*Q$2)</f>
        <v/>
      </c>
      <c r="R15" s="23">
        <f>($O15*R$2)</f>
        <v/>
      </c>
      <c r="S15" s="23">
        <f>($O15*S$2)</f>
        <v/>
      </c>
      <c r="T15" s="23">
        <f>($O15*T$2)</f>
        <v/>
      </c>
      <c r="U15" s="23">
        <f>($O15*U$2)</f>
        <v/>
      </c>
      <c r="V15" s="23">
        <f>($O15*V$2)</f>
        <v/>
      </c>
      <c r="W15" s="23">
        <f>($O15*W$2)</f>
        <v/>
      </c>
      <c r="X15" s="23">
        <f>($O15*X$2)</f>
        <v/>
      </c>
      <c r="Y15" s="23">
        <f>($O15*Y$2)</f>
        <v/>
      </c>
      <c r="Z15" s="23">
        <f>($O15*Z$2)</f>
        <v/>
      </c>
      <c r="AA15" s="23">
        <f>($O15*AA$2)</f>
        <v/>
      </c>
      <c r="AB15" s="23">
        <f>($O15*AB$2)</f>
        <v/>
      </c>
      <c r="AC15" s="23">
        <f>($O15*AC$2)</f>
        <v/>
      </c>
      <c r="AD15" s="23">
        <f>($O15*AD$2)</f>
        <v/>
      </c>
      <c r="AE15" s="23">
        <f>($O15*AE$2)</f>
        <v/>
      </c>
      <c r="AF15" s="13">
        <f>($O15*AF$2)</f>
        <v/>
      </c>
      <c r="AG15" s="94">
        <f>(AH15/O15)</f>
        <v/>
      </c>
      <c r="AH15" s="102" t="n">
        <v>27</v>
      </c>
      <c r="AI15" s="103">
        <f>(AH15*1.5)</f>
        <v/>
      </c>
      <c r="AJ15" s="104">
        <f>(AH15*2)</f>
        <v/>
      </c>
      <c r="AK15" s="119">
        <f>(AJ15+2)</f>
        <v/>
      </c>
      <c r="AL15" s="106">
        <f>(AH15*2.5)</f>
        <v/>
      </c>
      <c r="AM15" s="107">
        <f>(AH15*N15)*0.7</f>
        <v/>
      </c>
      <c r="AN15" s="55">
        <f>(1-(AO15)/(AH15*N15))</f>
        <v/>
      </c>
      <c r="AO15" s="107">
        <f>FLOOR(AM15,100)</f>
        <v/>
      </c>
      <c r="AP15" s="36" t="inlineStr">
        <is>
          <t>Anejo</t>
        </is>
      </c>
      <c r="AQ15" s="76" t="n"/>
    </row>
    <row r="16" ht="15" customHeight="1" thickBot="1">
      <c r="A16" s="75">
        <f>(A15+1)</f>
        <v/>
      </c>
      <c r="B16" s="36" t="inlineStr">
        <is>
          <t xml:space="preserve">Adictivo   </t>
        </is>
      </c>
      <c r="C16" s="36" t="n">
        <v>13881</v>
      </c>
      <c r="D16" s="122" t="n">
        <v>0</v>
      </c>
      <c r="E16" s="122" t="n">
        <v>57.19</v>
      </c>
      <c r="F16" s="36" t="n">
        <v>0</v>
      </c>
      <c r="G16" s="36" t="n">
        <v>0</v>
      </c>
      <c r="H16" s="36" t="n">
        <v>1</v>
      </c>
      <c r="I16" s="36" t="n">
        <v>1</v>
      </c>
      <c r="J16" s="122" t="n">
        <v>57.19</v>
      </c>
      <c r="K16" s="36" t="n">
        <v>57.19</v>
      </c>
      <c r="L16" s="122">
        <f>(E16+(15%*E16))</f>
        <v/>
      </c>
      <c r="M16" s="36" t="n">
        <v>750</v>
      </c>
      <c r="N16" s="123">
        <f>(M16/29.5735)</f>
        <v/>
      </c>
      <c r="O16" s="124">
        <f>(L16/N16)</f>
        <v/>
      </c>
      <c r="P16" s="23">
        <f>($O16*P$2)</f>
        <v/>
      </c>
      <c r="Q16" s="23">
        <f>($O16*Q$2)</f>
        <v/>
      </c>
      <c r="R16" s="23">
        <f>($O16*R$2)</f>
        <v/>
      </c>
      <c r="S16" s="23">
        <f>($O16*S$2)</f>
        <v/>
      </c>
      <c r="T16" s="23">
        <f>($O16*T$2)</f>
        <v/>
      </c>
      <c r="U16" s="23">
        <f>($O16*U$2)</f>
        <v/>
      </c>
      <c r="V16" s="23">
        <f>($O16*V$2)</f>
        <v/>
      </c>
      <c r="W16" s="23">
        <f>($O16*W$2)</f>
        <v/>
      </c>
      <c r="X16" s="23">
        <f>($O16*X$2)</f>
        <v/>
      </c>
      <c r="Y16" s="23">
        <f>($O16*Y$2)</f>
        <v/>
      </c>
      <c r="Z16" s="23">
        <f>($O16*Z$2)</f>
        <v/>
      </c>
      <c r="AA16" s="23">
        <f>($O16*AA$2)</f>
        <v/>
      </c>
      <c r="AB16" s="23">
        <f>($O16*AB$2)</f>
        <v/>
      </c>
      <c r="AC16" s="23">
        <f>($O16*AC$2)</f>
        <v/>
      </c>
      <c r="AD16" s="23">
        <f>($O16*AD$2)</f>
        <v/>
      </c>
      <c r="AE16" s="23">
        <f>($O16*AE$2)</f>
        <v/>
      </c>
      <c r="AF16" s="13">
        <f>($O16*AF$2)</f>
        <v/>
      </c>
      <c r="AG16" s="94">
        <f>(AH16/O16)</f>
        <v/>
      </c>
      <c r="AH16" s="102">
        <f>(O16*10)</f>
        <v/>
      </c>
      <c r="AI16" s="103">
        <f>(AH16*1.5)</f>
        <v/>
      </c>
      <c r="AJ16" s="104">
        <f>(AH16*2)</f>
        <v/>
      </c>
      <c r="AK16" s="119">
        <f>(AJ16+2)</f>
        <v/>
      </c>
      <c r="AL16" s="106">
        <f>(AH16*2.5)</f>
        <v/>
      </c>
      <c r="AM16" s="107">
        <f>(AH16*N16)*0.7</f>
        <v/>
      </c>
      <c r="AN16" s="55">
        <f>(1-(AO16)/(AH16*N16))</f>
        <v/>
      </c>
      <c r="AO16" s="107">
        <f>FLOOR(AM16,100)</f>
        <v/>
      </c>
      <c r="AP16" s="36" t="inlineStr">
        <is>
          <t>Anejo</t>
        </is>
      </c>
      <c r="AQ16" s="76" t="n"/>
    </row>
    <row r="17" ht="15" customHeight="1" thickBot="1">
      <c r="A17" s="75">
        <f>(A16+1)</f>
        <v/>
      </c>
      <c r="B17" s="36" t="inlineStr">
        <is>
          <t xml:space="preserve">Kah   </t>
        </is>
      </c>
      <c r="C17" s="36" t="n">
        <v>28679009</v>
      </c>
      <c r="D17" s="122" t="n">
        <v>0</v>
      </c>
      <c r="E17" s="122" t="n">
        <v>55.74</v>
      </c>
      <c r="F17" s="36" t="n">
        <v>0</v>
      </c>
      <c r="G17" s="36" t="n">
        <v>0</v>
      </c>
      <c r="H17" s="36" t="n">
        <v>1</v>
      </c>
      <c r="I17" s="36" t="n">
        <v>1</v>
      </c>
      <c r="J17" s="122" t="n">
        <v>55.74</v>
      </c>
      <c r="K17" s="36" t="n">
        <v>55.74</v>
      </c>
      <c r="L17" s="122">
        <f>(E17+(15%*E17))</f>
        <v/>
      </c>
      <c r="M17" s="36" t="n">
        <v>750</v>
      </c>
      <c r="N17" s="123">
        <f>(M17/29.5735)</f>
        <v/>
      </c>
      <c r="O17" s="124">
        <f>(L17/N17)</f>
        <v/>
      </c>
      <c r="P17" s="23">
        <f>($O17*P$2)</f>
        <v/>
      </c>
      <c r="Q17" s="23">
        <f>($O17*Q$2)</f>
        <v/>
      </c>
      <c r="R17" s="23">
        <f>($O17*R$2)</f>
        <v/>
      </c>
      <c r="S17" s="23">
        <f>($O17*S$2)</f>
        <v/>
      </c>
      <c r="T17" s="23">
        <f>($O17*T$2)</f>
        <v/>
      </c>
      <c r="U17" s="23">
        <f>($O17*U$2)</f>
        <v/>
      </c>
      <c r="V17" s="23">
        <f>($O17*V$2)</f>
        <v/>
      </c>
      <c r="W17" s="23">
        <f>($O17*W$2)</f>
        <v/>
      </c>
      <c r="X17" s="23">
        <f>($O17*X$2)</f>
        <v/>
      </c>
      <c r="Y17" s="23">
        <f>($O17*Y$2)</f>
        <v/>
      </c>
      <c r="Z17" s="23">
        <f>($O17*Z$2)</f>
        <v/>
      </c>
      <c r="AA17" s="23">
        <f>($O17*AA$2)</f>
        <v/>
      </c>
      <c r="AB17" s="23">
        <f>($O17*AB$2)</f>
        <v/>
      </c>
      <c r="AC17" s="23">
        <f>($O17*AC$2)</f>
        <v/>
      </c>
      <c r="AD17" s="23">
        <f>($O17*AD$2)</f>
        <v/>
      </c>
      <c r="AE17" s="23">
        <f>($O17*AE$2)</f>
        <v/>
      </c>
      <c r="AF17" s="13">
        <f>($O17*AF$2)</f>
        <v/>
      </c>
      <c r="AG17" s="94">
        <f>(AH17/O17)</f>
        <v/>
      </c>
      <c r="AH17" s="102">
        <f>(O17*10)</f>
        <v/>
      </c>
      <c r="AI17" s="103">
        <f>(AH17*1.5)</f>
        <v/>
      </c>
      <c r="AJ17" s="104">
        <f>(AH17*2)</f>
        <v/>
      </c>
      <c r="AK17" s="119">
        <f>(AJ17+2)</f>
        <v/>
      </c>
      <c r="AL17" s="106">
        <f>(AH17*2.5)</f>
        <v/>
      </c>
      <c r="AM17" s="107">
        <f>(AH17*N17)*0.7</f>
        <v/>
      </c>
      <c r="AN17" s="55">
        <f>(1-(AO17)/(AH17*N17))</f>
        <v/>
      </c>
      <c r="AO17" s="107">
        <f>FLOOR(AM17,100)</f>
        <v/>
      </c>
      <c r="AP17" s="36" t="inlineStr">
        <is>
          <t>Anejo</t>
        </is>
      </c>
      <c r="AQ17" s="76" t="n"/>
    </row>
    <row r="18" ht="15" customFormat="1" customHeight="1" s="3" thickBot="1">
      <c r="A18" s="75">
        <f>(A17+1)</f>
        <v/>
      </c>
      <c r="B18" s="36" t="inlineStr">
        <is>
          <t xml:space="preserve">Patron   </t>
        </is>
      </c>
      <c r="C18" s="36" t="n">
        <v>327</v>
      </c>
      <c r="D18" s="122" t="n">
        <v>0</v>
      </c>
      <c r="E18" s="122" t="n">
        <v>48.67</v>
      </c>
      <c r="F18" s="36" t="n">
        <v>0</v>
      </c>
      <c r="G18" s="36" t="n">
        <v>0</v>
      </c>
      <c r="H18" s="36" t="n">
        <v>1</v>
      </c>
      <c r="I18" s="36" t="n">
        <v>1</v>
      </c>
      <c r="J18" s="122" t="n">
        <v>49.19</v>
      </c>
      <c r="K18" s="36" t="n">
        <v>48.67</v>
      </c>
      <c r="L18" s="122">
        <f>(E18+(15%*E18))</f>
        <v/>
      </c>
      <c r="M18" s="36" t="n">
        <v>750</v>
      </c>
      <c r="N18" s="123">
        <f>(M18/29.5735)</f>
        <v/>
      </c>
      <c r="O18" s="124">
        <f>(L18/N18)</f>
        <v/>
      </c>
      <c r="P18" s="23">
        <f>($O18*P$2)</f>
        <v/>
      </c>
      <c r="Q18" s="23">
        <f>($O18*Q$2)</f>
        <v/>
      </c>
      <c r="R18" s="23">
        <f>($O18*R$2)</f>
        <v/>
      </c>
      <c r="S18" s="23">
        <f>($O18*S$2)</f>
        <v/>
      </c>
      <c r="T18" s="23">
        <f>($O18*T$2)</f>
        <v/>
      </c>
      <c r="U18" s="23">
        <f>($O18*U$2)</f>
        <v/>
      </c>
      <c r="V18" s="23">
        <f>($O18*V$2)</f>
        <v/>
      </c>
      <c r="W18" s="23">
        <f>($O18*W$2)</f>
        <v/>
      </c>
      <c r="X18" s="23">
        <f>($O18*X$2)</f>
        <v/>
      </c>
      <c r="Y18" s="23">
        <f>($O18*Y$2)</f>
        <v/>
      </c>
      <c r="Z18" s="23">
        <f>($O18*Z$2)</f>
        <v/>
      </c>
      <c r="AA18" s="23">
        <f>($O18*AA$2)</f>
        <v/>
      </c>
      <c r="AB18" s="23">
        <f>($O18*AB$2)</f>
        <v/>
      </c>
      <c r="AC18" s="23">
        <f>($O18*AC$2)</f>
        <v/>
      </c>
      <c r="AD18" s="23">
        <f>($O18*AD$2)</f>
        <v/>
      </c>
      <c r="AE18" s="23">
        <f>($O18*AE$2)</f>
        <v/>
      </c>
      <c r="AF18" s="13">
        <f>($O18*AF$2)</f>
        <v/>
      </c>
      <c r="AG18" s="94">
        <f>(AH18/O18)</f>
        <v/>
      </c>
      <c r="AH18" s="102">
        <f>(O18*10)</f>
        <v/>
      </c>
      <c r="AI18" s="103">
        <f>(AH18*1.5)</f>
        <v/>
      </c>
      <c r="AJ18" s="104">
        <f>(AH18*2)</f>
        <v/>
      </c>
      <c r="AK18" s="119">
        <f>(AJ18+2)</f>
        <v/>
      </c>
      <c r="AL18" s="106">
        <f>(AH18*2.5)</f>
        <v/>
      </c>
      <c r="AM18" s="107">
        <f>(AH18*N18)*0.7</f>
        <v/>
      </c>
      <c r="AN18" s="55">
        <f>(1-(AO18)/(AH18*N18))</f>
        <v/>
      </c>
      <c r="AO18" s="107">
        <f>FLOOR(AM18,100)</f>
        <v/>
      </c>
      <c r="AP18" s="36" t="inlineStr">
        <is>
          <t>Anejo</t>
        </is>
      </c>
      <c r="AQ18" s="76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n"/>
      <c r="CD18" s="11" t="n"/>
      <c r="CE18" s="11" t="n"/>
      <c r="CF18" s="11" t="n"/>
      <c r="CG18" s="11" t="n"/>
      <c r="CH18" s="11" t="n"/>
      <c r="CI18" s="11" t="n"/>
    </row>
    <row r="19" ht="15" customFormat="1" customHeight="1" s="3" thickBot="1">
      <c r="A19" s="75">
        <f>(A18+1)</f>
        <v/>
      </c>
      <c r="B19" s="36" t="inlineStr">
        <is>
          <t xml:space="preserve">Don Julio   </t>
        </is>
      </c>
      <c r="C19" s="36" t="n">
        <v>566009</v>
      </c>
      <c r="D19" s="122" t="n">
        <v>0</v>
      </c>
      <c r="E19" s="122" t="n">
        <v>49.02</v>
      </c>
      <c r="F19" s="36" t="n">
        <v>0</v>
      </c>
      <c r="G19" s="36" t="n">
        <v>0</v>
      </c>
      <c r="H19" s="36" t="n">
        <v>3</v>
      </c>
      <c r="I19" s="36" t="n">
        <v>3</v>
      </c>
      <c r="J19" s="122" t="n">
        <v>147.12</v>
      </c>
      <c r="K19" s="36" t="n">
        <v>147.06</v>
      </c>
      <c r="L19" s="122">
        <f>(E19+(15%*E19))</f>
        <v/>
      </c>
      <c r="M19" s="36" t="n">
        <v>750</v>
      </c>
      <c r="N19" s="123">
        <f>(M19/29.5735)</f>
        <v/>
      </c>
      <c r="O19" s="124">
        <f>(L19/N19)</f>
        <v/>
      </c>
      <c r="P19" s="23">
        <f>($O19*P$2)</f>
        <v/>
      </c>
      <c r="Q19" s="23">
        <f>($O19*Q$2)</f>
        <v/>
      </c>
      <c r="R19" s="23">
        <f>($O19*R$2)</f>
        <v/>
      </c>
      <c r="S19" s="23">
        <f>($O19*S$2)</f>
        <v/>
      </c>
      <c r="T19" s="23">
        <f>($O19*T$2)</f>
        <v/>
      </c>
      <c r="U19" s="23">
        <f>($O19*U$2)</f>
        <v/>
      </c>
      <c r="V19" s="23">
        <f>($O19*V$2)</f>
        <v/>
      </c>
      <c r="W19" s="23">
        <f>($O19*W$2)</f>
        <v/>
      </c>
      <c r="X19" s="23">
        <f>($O19*X$2)</f>
        <v/>
      </c>
      <c r="Y19" s="23">
        <f>($O19*Y$2)</f>
        <v/>
      </c>
      <c r="Z19" s="23">
        <f>($O19*Z$2)</f>
        <v/>
      </c>
      <c r="AA19" s="23">
        <f>($O19*AA$2)</f>
        <v/>
      </c>
      <c r="AB19" s="23">
        <f>($O19*AB$2)</f>
        <v/>
      </c>
      <c r="AC19" s="23">
        <f>($O19*AC$2)</f>
        <v/>
      </c>
      <c r="AD19" s="23">
        <f>($O19*AD$2)</f>
        <v/>
      </c>
      <c r="AE19" s="23">
        <f>($O19*AE$2)</f>
        <v/>
      </c>
      <c r="AF19" s="13">
        <f>($O19*AF$2)</f>
        <v/>
      </c>
      <c r="AG19" s="94">
        <f>(AH19/O19)</f>
        <v/>
      </c>
      <c r="AH19" s="102">
        <f>(O19*10)</f>
        <v/>
      </c>
      <c r="AI19" s="103">
        <f>(AH19*1.5)</f>
        <v/>
      </c>
      <c r="AJ19" s="104">
        <f>(AH19*2)</f>
        <v/>
      </c>
      <c r="AK19" s="119">
        <f>(AJ19+2)</f>
        <v/>
      </c>
      <c r="AL19" s="106">
        <f>(AH19*2.5)</f>
        <v/>
      </c>
      <c r="AM19" s="107">
        <f>(AH19*N19)*0.7</f>
        <v/>
      </c>
      <c r="AN19" s="55">
        <f>(1-(AO19)/(AH19*N19))</f>
        <v/>
      </c>
      <c r="AO19" s="107">
        <f>FLOOR(AM19,100)</f>
        <v/>
      </c>
      <c r="AP19" s="36" t="inlineStr">
        <is>
          <t>Anejo</t>
        </is>
      </c>
      <c r="AQ19" s="76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n"/>
      <c r="CD19" s="11" t="n"/>
      <c r="CE19" s="11" t="n"/>
      <c r="CF19" s="11" t="n"/>
      <c r="CG19" s="11" t="n"/>
      <c r="CH19" s="11" t="n"/>
      <c r="CI19" s="11" t="n"/>
    </row>
    <row r="20" ht="15" customFormat="1" customHeight="1" s="3" thickBot="1">
      <c r="A20" s="75">
        <f>(A19+1)</f>
        <v/>
      </c>
      <c r="B20" s="36" t="inlineStr">
        <is>
          <t xml:space="preserve">Cenote   </t>
        </is>
      </c>
      <c r="C20" s="36" t="n">
        <v>23341009</v>
      </c>
      <c r="D20" s="122" t="n">
        <v>0</v>
      </c>
      <c r="E20" s="122" t="n">
        <v>43.48</v>
      </c>
      <c r="F20" s="36" t="n">
        <v>0</v>
      </c>
      <c r="G20" s="36" t="n">
        <v>0</v>
      </c>
      <c r="H20" s="36" t="n">
        <v>1</v>
      </c>
      <c r="I20" s="36" t="n">
        <v>1</v>
      </c>
      <c r="J20" s="122" t="n">
        <v>43.48</v>
      </c>
      <c r="K20" s="36" t="n">
        <v>43.48</v>
      </c>
      <c r="L20" s="122">
        <f>(E20+(15%*E20))</f>
        <v/>
      </c>
      <c r="M20" s="36" t="n">
        <v>750</v>
      </c>
      <c r="N20" s="123">
        <f>(M20/29.5735)</f>
        <v/>
      </c>
      <c r="O20" s="124">
        <f>(L20/N20)</f>
        <v/>
      </c>
      <c r="P20" s="23">
        <f>($O20*P$2)</f>
        <v/>
      </c>
      <c r="Q20" s="23">
        <f>($O20*Q$2)</f>
        <v/>
      </c>
      <c r="R20" s="23">
        <f>($O20*R$2)</f>
        <v/>
      </c>
      <c r="S20" s="23">
        <f>($O20*S$2)</f>
        <v/>
      </c>
      <c r="T20" s="23">
        <f>($O20*T$2)</f>
        <v/>
      </c>
      <c r="U20" s="23">
        <f>($O20*U$2)</f>
        <v/>
      </c>
      <c r="V20" s="23">
        <f>($O20*V$2)</f>
        <v/>
      </c>
      <c r="W20" s="23">
        <f>($O20*W$2)</f>
        <v/>
      </c>
      <c r="X20" s="23">
        <f>($O20*X$2)</f>
        <v/>
      </c>
      <c r="Y20" s="23">
        <f>($O20*Y$2)</f>
        <v/>
      </c>
      <c r="Z20" s="23">
        <f>($O20*Z$2)</f>
        <v/>
      </c>
      <c r="AA20" s="23">
        <f>($O20*AA$2)</f>
        <v/>
      </c>
      <c r="AB20" s="23">
        <f>($O20*AB$2)</f>
        <v/>
      </c>
      <c r="AC20" s="23">
        <f>($O20*AC$2)</f>
        <v/>
      </c>
      <c r="AD20" s="23">
        <f>($O20*AD$2)</f>
        <v/>
      </c>
      <c r="AE20" s="23">
        <f>($O20*AE$2)</f>
        <v/>
      </c>
      <c r="AF20" s="13">
        <f>($O20*AF$2)</f>
        <v/>
      </c>
      <c r="AG20" s="94">
        <f>(AH20/O20)</f>
        <v/>
      </c>
      <c r="AH20" s="102">
        <f>(O20*10)</f>
        <v/>
      </c>
      <c r="AI20" s="103">
        <f>(AH20*1.5)</f>
        <v/>
      </c>
      <c r="AJ20" s="104">
        <f>(AH20*2)</f>
        <v/>
      </c>
      <c r="AK20" s="119">
        <f>(AJ20+2)</f>
        <v/>
      </c>
      <c r="AL20" s="106">
        <f>(AH20*2.5)</f>
        <v/>
      </c>
      <c r="AM20" s="107">
        <f>(AH20*N20)*0.7</f>
        <v/>
      </c>
      <c r="AN20" s="55">
        <f>(1-(AO20)/(AH20*N20))</f>
        <v/>
      </c>
      <c r="AO20" s="107">
        <f>FLOOR(AM20,100)</f>
        <v/>
      </c>
      <c r="AP20" s="36" t="inlineStr">
        <is>
          <t>Anejo</t>
        </is>
      </c>
      <c r="AQ20" s="76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n"/>
      <c r="CD20" s="11" t="n"/>
      <c r="CE20" s="11" t="n"/>
      <c r="CF20" s="11" t="n"/>
      <c r="CG20" s="11" t="n"/>
      <c r="CH20" s="11" t="n"/>
      <c r="CI20" s="11" t="n"/>
    </row>
    <row r="21" ht="15" customFormat="1" customHeight="1" s="3" thickBot="1">
      <c r="A21" s="75">
        <f>(A20+1)</f>
        <v/>
      </c>
      <c r="B21" s="36" t="inlineStr">
        <is>
          <t xml:space="preserve">Religion   </t>
        </is>
      </c>
      <c r="C21" s="36" t="n">
        <v>18481</v>
      </c>
      <c r="D21" s="122" t="n">
        <v>0</v>
      </c>
      <c r="E21" s="122" t="n">
        <v>43.3</v>
      </c>
      <c r="F21" s="36" t="n">
        <v>0</v>
      </c>
      <c r="G21" s="36" t="n">
        <v>0</v>
      </c>
      <c r="H21" s="36" t="n">
        <v>1</v>
      </c>
      <c r="I21" s="36" t="n">
        <v>1</v>
      </c>
      <c r="J21" s="122" t="n">
        <v>43.3</v>
      </c>
      <c r="K21" s="36" t="n">
        <v>43.3</v>
      </c>
      <c r="L21" s="122">
        <f>(E21+(15%*E21))</f>
        <v/>
      </c>
      <c r="M21" s="36" t="n">
        <v>750</v>
      </c>
      <c r="N21" s="123">
        <f>(M21/29.5735)</f>
        <v/>
      </c>
      <c r="O21" s="124">
        <f>(L21/N21)</f>
        <v/>
      </c>
      <c r="P21" s="23">
        <f>($O21*P$2)</f>
        <v/>
      </c>
      <c r="Q21" s="23">
        <f>($O21*Q$2)</f>
        <v/>
      </c>
      <c r="R21" s="23">
        <f>($O21*R$2)</f>
        <v/>
      </c>
      <c r="S21" s="23">
        <f>($O21*S$2)</f>
        <v/>
      </c>
      <c r="T21" s="23">
        <f>($O21*T$2)</f>
        <v/>
      </c>
      <c r="U21" s="23">
        <f>($O21*U$2)</f>
        <v/>
      </c>
      <c r="V21" s="23">
        <f>($O21*V$2)</f>
        <v/>
      </c>
      <c r="W21" s="23">
        <f>($O21*W$2)</f>
        <v/>
      </c>
      <c r="X21" s="23">
        <f>($O21*X$2)</f>
        <v/>
      </c>
      <c r="Y21" s="23">
        <f>($O21*Y$2)</f>
        <v/>
      </c>
      <c r="Z21" s="23">
        <f>($O21*Z$2)</f>
        <v/>
      </c>
      <c r="AA21" s="23">
        <f>($O21*AA$2)</f>
        <v/>
      </c>
      <c r="AB21" s="23">
        <f>($O21*AB$2)</f>
        <v/>
      </c>
      <c r="AC21" s="23">
        <f>($O21*AC$2)</f>
        <v/>
      </c>
      <c r="AD21" s="23">
        <f>($O21*AD$2)</f>
        <v/>
      </c>
      <c r="AE21" s="23">
        <f>($O21*AE$2)</f>
        <v/>
      </c>
      <c r="AF21" s="13">
        <f>($O21*AF$2)</f>
        <v/>
      </c>
      <c r="AG21" s="94">
        <f>(AH21/O21)</f>
        <v/>
      </c>
      <c r="AH21" s="102">
        <f>(O21*10)</f>
        <v/>
      </c>
      <c r="AI21" s="103">
        <f>(AH21*1.5)</f>
        <v/>
      </c>
      <c r="AJ21" s="104">
        <f>(AH21*2)</f>
        <v/>
      </c>
      <c r="AK21" s="119">
        <f>(AJ21+2)</f>
        <v/>
      </c>
      <c r="AL21" s="106">
        <f>(AH21*2.5)</f>
        <v/>
      </c>
      <c r="AM21" s="107">
        <f>(AH21*N21)*0.7</f>
        <v/>
      </c>
      <c r="AN21" s="55">
        <f>(1-(AO21)/(AH21*N21))</f>
        <v/>
      </c>
      <c r="AO21" s="107">
        <f>FLOOR(AM21,100)</f>
        <v/>
      </c>
      <c r="AP21" s="36" t="inlineStr">
        <is>
          <t>Anejo</t>
        </is>
      </c>
      <c r="AQ21" s="76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n"/>
      <c r="CD21" s="11" t="n"/>
      <c r="CE21" s="11" t="n"/>
      <c r="CF21" s="11" t="n"/>
      <c r="CG21" s="11" t="n"/>
      <c r="CH21" s="11" t="n"/>
      <c r="CI21" s="11" t="n"/>
    </row>
    <row r="22" ht="15" customHeight="1" thickBot="1">
      <c r="A22" s="75">
        <f>(A21+1)</f>
        <v/>
      </c>
      <c r="B22" s="36" t="inlineStr">
        <is>
          <t xml:space="preserve">Tierra Noble   </t>
        </is>
      </c>
      <c r="C22" s="36" t="n">
        <v>161394</v>
      </c>
      <c r="D22" s="122" t="n">
        <v>0</v>
      </c>
      <c r="E22" s="122" t="n">
        <v>40.86</v>
      </c>
      <c r="F22" s="36" t="n">
        <v>0</v>
      </c>
      <c r="G22" s="36" t="n">
        <v>0</v>
      </c>
      <c r="H22" s="36" t="n">
        <v>1</v>
      </c>
      <c r="I22" s="36" t="n">
        <v>1</v>
      </c>
      <c r="J22" s="122" t="n">
        <v>41.91</v>
      </c>
      <c r="K22" s="36" t="n">
        <v>40.86</v>
      </c>
      <c r="L22" s="122">
        <f>(E22+(15%*E22))</f>
        <v/>
      </c>
      <c r="M22" s="36" t="n">
        <v>750</v>
      </c>
      <c r="N22" s="123">
        <f>(M22/29.5735)</f>
        <v/>
      </c>
      <c r="O22" s="124">
        <f>(L22/N22)</f>
        <v/>
      </c>
      <c r="P22" s="23">
        <f>($O22*P$2)</f>
        <v/>
      </c>
      <c r="Q22" s="23">
        <f>($O22*Q$2)</f>
        <v/>
      </c>
      <c r="R22" s="23">
        <f>($O22*R$2)</f>
        <v/>
      </c>
      <c r="S22" s="23">
        <f>($O22*S$2)</f>
        <v/>
      </c>
      <c r="T22" s="23">
        <f>($O22*T$2)</f>
        <v/>
      </c>
      <c r="U22" s="23">
        <f>($O22*U$2)</f>
        <v/>
      </c>
      <c r="V22" s="23">
        <f>($O22*V$2)</f>
        <v/>
      </c>
      <c r="W22" s="23">
        <f>($O22*W$2)</f>
        <v/>
      </c>
      <c r="X22" s="23">
        <f>($O22*X$2)</f>
        <v/>
      </c>
      <c r="Y22" s="23">
        <f>($O22*Y$2)</f>
        <v/>
      </c>
      <c r="Z22" s="23">
        <f>($O22*Z$2)</f>
        <v/>
      </c>
      <c r="AA22" s="23">
        <f>($O22*AA$2)</f>
        <v/>
      </c>
      <c r="AB22" s="23">
        <f>($O22*AB$2)</f>
        <v/>
      </c>
      <c r="AC22" s="23">
        <f>($O22*AC$2)</f>
        <v/>
      </c>
      <c r="AD22" s="23">
        <f>($O22*AD$2)</f>
        <v/>
      </c>
      <c r="AE22" s="23">
        <f>($O22*AE$2)</f>
        <v/>
      </c>
      <c r="AF22" s="13">
        <f>($O22*AF$2)</f>
        <v/>
      </c>
      <c r="AG22" s="94">
        <f>(AH22/O22)</f>
        <v/>
      </c>
      <c r="AH22" s="102">
        <f>(O22*10)</f>
        <v/>
      </c>
      <c r="AI22" s="103">
        <f>(AH22*1.5)</f>
        <v/>
      </c>
      <c r="AJ22" s="104">
        <f>(AH22*2)</f>
        <v/>
      </c>
      <c r="AK22" s="119">
        <f>(AJ22+2)</f>
        <v/>
      </c>
      <c r="AL22" s="106">
        <f>(AH22*2.5)</f>
        <v/>
      </c>
      <c r="AM22" s="107">
        <f>(AH22*N22)*0.7</f>
        <v/>
      </c>
      <c r="AN22" s="55">
        <f>(1-(AO22)/(AH22*N22))</f>
        <v/>
      </c>
      <c r="AO22" s="107">
        <f>FLOOR(AM22,100)</f>
        <v/>
      </c>
      <c r="AP22" s="36" t="inlineStr">
        <is>
          <t>Anejo</t>
        </is>
      </c>
      <c r="AQ22" s="76" t="n"/>
    </row>
    <row r="23" ht="15" customHeight="1" thickBot="1">
      <c r="A23" s="75">
        <f>(A22+1)</f>
        <v/>
      </c>
      <c r="B23" s="36" t="inlineStr">
        <is>
          <t xml:space="preserve">Tres Agave   </t>
        </is>
      </c>
      <c r="C23" s="36" t="n">
        <v>14498009</v>
      </c>
      <c r="D23" s="122" t="n">
        <v>0</v>
      </c>
      <c r="E23" s="122" t="n">
        <v>36.77</v>
      </c>
      <c r="F23" s="36" t="n">
        <v>0</v>
      </c>
      <c r="G23" s="36" t="n">
        <v>0</v>
      </c>
      <c r="H23" s="36" t="n">
        <v>1</v>
      </c>
      <c r="I23" s="36" t="n">
        <v>1</v>
      </c>
      <c r="J23" s="122" t="n">
        <v>39.4</v>
      </c>
      <c r="K23" s="36" t="n">
        <v>36.77</v>
      </c>
      <c r="L23" s="122">
        <f>(E23+(15%*E23))</f>
        <v/>
      </c>
      <c r="M23" s="36" t="n">
        <v>750</v>
      </c>
      <c r="N23" s="123">
        <f>(M23/29.5735)</f>
        <v/>
      </c>
      <c r="O23" s="124">
        <f>(L23/N23)</f>
        <v/>
      </c>
      <c r="P23" s="23">
        <f>($O23*P$2)</f>
        <v/>
      </c>
      <c r="Q23" s="23">
        <f>($O23*Q$2)</f>
        <v/>
      </c>
      <c r="R23" s="23">
        <f>($O23*R$2)</f>
        <v/>
      </c>
      <c r="S23" s="23">
        <f>($O23*S$2)</f>
        <v/>
      </c>
      <c r="T23" s="23">
        <f>($O23*T$2)</f>
        <v/>
      </c>
      <c r="U23" s="23">
        <f>($O23*U$2)</f>
        <v/>
      </c>
      <c r="V23" s="23">
        <f>($O23*V$2)</f>
        <v/>
      </c>
      <c r="W23" s="23">
        <f>($O23*W$2)</f>
        <v/>
      </c>
      <c r="X23" s="23">
        <f>($O23*X$2)</f>
        <v/>
      </c>
      <c r="Y23" s="23">
        <f>($O23*Y$2)</f>
        <v/>
      </c>
      <c r="Z23" s="23">
        <f>($O23*Z$2)</f>
        <v/>
      </c>
      <c r="AA23" s="23">
        <f>($O23*AA$2)</f>
        <v/>
      </c>
      <c r="AB23" s="23">
        <f>($O23*AB$2)</f>
        <v/>
      </c>
      <c r="AC23" s="23">
        <f>($O23*AC$2)</f>
        <v/>
      </c>
      <c r="AD23" s="23">
        <f>($O23*AD$2)</f>
        <v/>
      </c>
      <c r="AE23" s="23">
        <f>($O23*AE$2)</f>
        <v/>
      </c>
      <c r="AF23" s="13">
        <f>($O23*AF$2)</f>
        <v/>
      </c>
      <c r="AG23" s="94">
        <f>(AH23/O23)</f>
        <v/>
      </c>
      <c r="AH23" s="102">
        <f>(O23*10)</f>
        <v/>
      </c>
      <c r="AI23" s="103">
        <f>(AH23*1.5)</f>
        <v/>
      </c>
      <c r="AJ23" s="104">
        <f>(AH23*2)</f>
        <v/>
      </c>
      <c r="AK23" s="119">
        <f>(AJ23+2)</f>
        <v/>
      </c>
      <c r="AL23" s="106">
        <f>(AH23*2.5)</f>
        <v/>
      </c>
      <c r="AM23" s="107">
        <f>(AH23*N23)*0.7</f>
        <v/>
      </c>
      <c r="AN23" s="55">
        <f>(1-(AO23)/(AH23*N23))</f>
        <v/>
      </c>
      <c r="AO23" s="107">
        <f>FLOOR(AM23,100)</f>
        <v/>
      </c>
      <c r="AP23" s="36" t="inlineStr">
        <is>
          <t>Anejo</t>
        </is>
      </c>
      <c r="AQ23" s="76" t="n"/>
    </row>
    <row r="24" ht="15" customHeight="1" thickBot="1">
      <c r="A24" s="75">
        <f>(A23+1)</f>
        <v/>
      </c>
      <c r="B24" s="36" t="inlineStr">
        <is>
          <t xml:space="preserve">Olmeca Altos   </t>
        </is>
      </c>
      <c r="C24" s="36" t="n">
        <v>355785</v>
      </c>
      <c r="D24" s="122" t="n">
        <v>0</v>
      </c>
      <c r="E24" s="122" t="n">
        <v>32.68</v>
      </c>
      <c r="F24" s="36" t="n">
        <v>0</v>
      </c>
      <c r="G24" s="36" t="n">
        <v>0</v>
      </c>
      <c r="H24" s="36" t="n">
        <v>1</v>
      </c>
      <c r="I24" s="36" t="n">
        <v>1</v>
      </c>
      <c r="J24" s="122" t="n">
        <v>35.3</v>
      </c>
      <c r="K24" s="36" t="n">
        <v>32.68</v>
      </c>
      <c r="L24" s="122">
        <f>(E24+(15%*E24))</f>
        <v/>
      </c>
      <c r="M24" s="36" t="n">
        <v>750</v>
      </c>
      <c r="N24" s="123">
        <f>(M24/29.5735)</f>
        <v/>
      </c>
      <c r="O24" s="124">
        <f>(L24/N24)</f>
        <v/>
      </c>
      <c r="P24" s="23">
        <f>($O24*P$2)</f>
        <v/>
      </c>
      <c r="Q24" s="23">
        <f>($O24*Q$2)</f>
        <v/>
      </c>
      <c r="R24" s="23">
        <f>($O24*R$2)</f>
        <v/>
      </c>
      <c r="S24" s="23">
        <f>($O24*S$2)</f>
        <v/>
      </c>
      <c r="T24" s="23">
        <f>($O24*T$2)</f>
        <v/>
      </c>
      <c r="U24" s="23">
        <f>($O24*U$2)</f>
        <v/>
      </c>
      <c r="V24" s="23">
        <f>($O24*V$2)</f>
        <v/>
      </c>
      <c r="W24" s="23">
        <f>($O24*W$2)</f>
        <v/>
      </c>
      <c r="X24" s="23">
        <f>($O24*X$2)</f>
        <v/>
      </c>
      <c r="Y24" s="23">
        <f>($O24*Y$2)</f>
        <v/>
      </c>
      <c r="Z24" s="23">
        <f>($O24*Z$2)</f>
        <v/>
      </c>
      <c r="AA24" s="23">
        <f>($O24*AA$2)</f>
        <v/>
      </c>
      <c r="AB24" s="23">
        <f>($O24*AB$2)</f>
        <v/>
      </c>
      <c r="AC24" s="23">
        <f>($O24*AC$2)</f>
        <v/>
      </c>
      <c r="AD24" s="23">
        <f>($O24*AD$2)</f>
        <v/>
      </c>
      <c r="AE24" s="23">
        <f>($O24*AE$2)</f>
        <v/>
      </c>
      <c r="AF24" s="13">
        <f>($O24*AF$2)</f>
        <v/>
      </c>
      <c r="AG24" s="94">
        <f>(AH24/O24)</f>
        <v/>
      </c>
      <c r="AH24" s="102">
        <f>(O24*10)</f>
        <v/>
      </c>
      <c r="AI24" s="103">
        <f>(AH24*1.5)</f>
        <v/>
      </c>
      <c r="AJ24" s="104">
        <f>(AH24*2)</f>
        <v/>
      </c>
      <c r="AK24" s="119">
        <f>(AJ24+2)</f>
        <v/>
      </c>
      <c r="AL24" s="106">
        <f>(AH24*2.5)</f>
        <v/>
      </c>
      <c r="AM24" s="107">
        <f>(AH24*N24)*0.7</f>
        <v/>
      </c>
      <c r="AN24" s="55">
        <f>(1-(AO24)/(AH24*N24))</f>
        <v/>
      </c>
      <c r="AO24" s="107">
        <f>FLOOR(AM24,100)</f>
        <v/>
      </c>
      <c r="AP24" s="36" t="inlineStr">
        <is>
          <t>Anejo</t>
        </is>
      </c>
      <c r="AQ24" s="76" t="n"/>
    </row>
    <row r="25" ht="15" customHeight="1" thickBot="1">
      <c r="A25" s="75">
        <f>(A24+1)</f>
        <v/>
      </c>
      <c r="B25" s="36" t="inlineStr">
        <is>
          <t xml:space="preserve">Camarena        </t>
        </is>
      </c>
      <c r="C25" s="36" t="n">
        <v>937606</v>
      </c>
      <c r="D25" s="122" t="n">
        <v>0</v>
      </c>
      <c r="E25" s="122" t="n">
        <v>26.36</v>
      </c>
      <c r="F25" s="36" t="n">
        <v>0</v>
      </c>
      <c r="G25" s="36" t="n">
        <v>0</v>
      </c>
      <c r="H25" s="36" t="n">
        <v>1</v>
      </c>
      <c r="I25" s="36" t="n">
        <v>1</v>
      </c>
      <c r="J25" s="122" t="n">
        <v>26.36</v>
      </c>
      <c r="K25" s="36" t="n">
        <v>26.36</v>
      </c>
      <c r="L25" s="122">
        <f>(E25+(15%*E25))</f>
        <v/>
      </c>
      <c r="M25" s="36" t="n">
        <v>750</v>
      </c>
      <c r="N25" s="123">
        <f>(M25/29.5735)</f>
        <v/>
      </c>
      <c r="O25" s="124">
        <f>(L25/N25)</f>
        <v/>
      </c>
      <c r="P25" s="23">
        <f>($O25*P$2)</f>
        <v/>
      </c>
      <c r="Q25" s="23">
        <f>($O25*Q$2)</f>
        <v/>
      </c>
      <c r="R25" s="23">
        <f>($O25*R$2)</f>
        <v/>
      </c>
      <c r="S25" s="23">
        <f>($O25*S$2)</f>
        <v/>
      </c>
      <c r="T25" s="23">
        <f>($O25*T$2)</f>
        <v/>
      </c>
      <c r="U25" s="23">
        <f>($O25*U$2)</f>
        <v/>
      </c>
      <c r="V25" s="23">
        <f>($O25*V$2)</f>
        <v/>
      </c>
      <c r="W25" s="23">
        <f>($O25*W$2)</f>
        <v/>
      </c>
      <c r="X25" s="23">
        <f>($O25*X$2)</f>
        <v/>
      </c>
      <c r="Y25" s="23">
        <f>($O25*Y$2)</f>
        <v/>
      </c>
      <c r="Z25" s="23">
        <f>($O25*Z$2)</f>
        <v/>
      </c>
      <c r="AA25" s="23">
        <f>($O25*AA$2)</f>
        <v/>
      </c>
      <c r="AB25" s="23">
        <f>($O25*AB$2)</f>
        <v/>
      </c>
      <c r="AC25" s="23">
        <f>($O25*AC$2)</f>
        <v/>
      </c>
      <c r="AD25" s="23">
        <f>($O25*AD$2)</f>
        <v/>
      </c>
      <c r="AE25" s="23">
        <f>($O25*AE$2)</f>
        <v/>
      </c>
      <c r="AF25" s="13">
        <f>($O25*AF$2)</f>
        <v/>
      </c>
      <c r="AG25" s="94">
        <f>(AH25/O25)</f>
        <v/>
      </c>
      <c r="AH25" s="102">
        <f>(O25*10)</f>
        <v/>
      </c>
      <c r="AI25" s="103">
        <f>(AH25*1.5)</f>
        <v/>
      </c>
      <c r="AJ25" s="104">
        <f>(AH25*2)</f>
        <v/>
      </c>
      <c r="AK25" s="119">
        <f>(AJ25+2)</f>
        <v/>
      </c>
      <c r="AL25" s="106">
        <f>(AH25*2.5)</f>
        <v/>
      </c>
      <c r="AM25" s="107">
        <f>(AH25*N25)*0.7</f>
        <v/>
      </c>
      <c r="AN25" s="55">
        <f>(1-(AO25)/(AH25*N25))</f>
        <v/>
      </c>
      <c r="AO25" s="107">
        <f>FLOOR(AM25,100)</f>
        <v/>
      </c>
      <c r="AP25" s="36" t="inlineStr">
        <is>
          <t>Anejo</t>
        </is>
      </c>
      <c r="AQ25" s="76" t="n"/>
    </row>
    <row r="26" ht="15" customHeight="1" thickBot="1">
      <c r="A26" s="20">
        <f>(A25+1)</f>
        <v/>
      </c>
      <c r="B26" s="78" t="inlineStr">
        <is>
          <t xml:space="preserve">Don Julio 1942  </t>
        </is>
      </c>
      <c r="C26" s="78" t="n">
        <v>979009</v>
      </c>
      <c r="D26" s="125" t="n">
        <v>0</v>
      </c>
      <c r="E26" s="125" t="n">
        <v>143</v>
      </c>
      <c r="F26" s="78" t="n">
        <v>0</v>
      </c>
      <c r="G26" s="78" t="n">
        <v>0</v>
      </c>
      <c r="H26" s="78" t="n">
        <v>1</v>
      </c>
      <c r="I26" s="78" t="n">
        <v>1</v>
      </c>
      <c r="J26" s="125" t="n">
        <v>143</v>
      </c>
      <c r="K26" s="78" t="n">
        <v>143</v>
      </c>
      <c r="L26" s="125">
        <f>(E26+(15%*E26))</f>
        <v/>
      </c>
      <c r="M26" s="78" t="n">
        <v>750</v>
      </c>
      <c r="N26" s="126">
        <f>(M26/29.5735)</f>
        <v/>
      </c>
      <c r="O26" s="127">
        <f>(L26/N26)</f>
        <v/>
      </c>
      <c r="P26" s="81">
        <f>($O26*P$2)</f>
        <v/>
      </c>
      <c r="Q26" s="81">
        <f>($O26*Q$2)</f>
        <v/>
      </c>
      <c r="R26" s="81">
        <f>($O26*R$2)</f>
        <v/>
      </c>
      <c r="S26" s="81">
        <f>($O26*S$2)</f>
        <v/>
      </c>
      <c r="T26" s="81">
        <f>($O26*T$2)</f>
        <v/>
      </c>
      <c r="U26" s="81">
        <f>($O26*U$2)</f>
        <v/>
      </c>
      <c r="V26" s="14">
        <f>($O26*V$2)</f>
        <v/>
      </c>
      <c r="W26" s="81">
        <f>($O26*W$2)</f>
        <v/>
      </c>
      <c r="X26" s="81">
        <f>($O26*X$2)</f>
        <v/>
      </c>
      <c r="Y26" s="81">
        <f>($O26*Y$2)</f>
        <v/>
      </c>
      <c r="Z26" s="81">
        <f>($O26*Z$2)</f>
        <v/>
      </c>
      <c r="AA26" s="81">
        <f>($O26*AA$2)</f>
        <v/>
      </c>
      <c r="AB26" s="81">
        <f>($O26*AB$2)</f>
        <v/>
      </c>
      <c r="AC26" s="81">
        <f>($O26*AC$2)</f>
        <v/>
      </c>
      <c r="AD26" s="81">
        <f>($O26*AD$2)</f>
        <v/>
      </c>
      <c r="AE26" s="81">
        <f>($O26*AE$2)</f>
        <v/>
      </c>
      <c r="AF26" s="81">
        <f>($O26*AF$2)</f>
        <v/>
      </c>
      <c r="AG26" s="128">
        <f>(AH26/O26)</f>
        <v/>
      </c>
      <c r="AH26" s="129" t="n">
        <v>36</v>
      </c>
      <c r="AI26" s="130">
        <f>(AH26*1.5)</f>
        <v/>
      </c>
      <c r="AJ26" s="131">
        <f>(AH26*2)</f>
        <v/>
      </c>
      <c r="AK26" s="119">
        <f>(AJ26+2)</f>
        <v/>
      </c>
      <c r="AL26" s="132">
        <f>(AH26*2.5)</f>
        <v/>
      </c>
      <c r="AM26" s="133">
        <f>(AH26*N26)*0.7</f>
        <v/>
      </c>
      <c r="AN26" s="88">
        <f>(1-(AO26)/(AH26*N26))</f>
        <v/>
      </c>
      <c r="AO26" s="133">
        <f>FLOOR(AM26,100)</f>
        <v/>
      </c>
      <c r="AP26" s="78" t="inlineStr">
        <is>
          <t>Anejo</t>
        </is>
      </c>
      <c r="AQ26" s="89" t="n"/>
    </row>
    <row r="27" ht="15" customFormat="1" customHeight="1" s="3" thickBot="1">
      <c r="A27" s="18">
        <f>(A26+1)</f>
        <v/>
      </c>
      <c r="B27" s="63" t="inlineStr">
        <is>
          <t xml:space="preserve">Cazcanes Still Strength   </t>
        </is>
      </c>
      <c r="C27" s="63" t="n">
        <v>1735</v>
      </c>
      <c r="D27" s="112" t="n">
        <v>0</v>
      </c>
      <c r="E27" s="112" t="n">
        <v>81.90000000000001</v>
      </c>
      <c r="F27" s="63" t="n">
        <v>0</v>
      </c>
      <c r="G27" s="63" t="n">
        <v>0</v>
      </c>
      <c r="H27" s="63" t="n">
        <v>1</v>
      </c>
      <c r="I27" s="63" t="n">
        <v>1</v>
      </c>
      <c r="J27" s="112" t="n">
        <v>83.48</v>
      </c>
      <c r="K27" s="63" t="n">
        <v>81.90000000000001</v>
      </c>
      <c r="L27" s="112">
        <f>(E27+(15%*E27))</f>
        <v/>
      </c>
      <c r="M27" s="63" t="n">
        <v>750</v>
      </c>
      <c r="N27" s="113">
        <f>(M27/29.5735)</f>
        <v/>
      </c>
      <c r="O27" s="114">
        <f>(L27/N27)</f>
        <v/>
      </c>
      <c r="P27" s="66">
        <f>($O27*P$2)</f>
        <v/>
      </c>
      <c r="Q27" s="66">
        <f>($O27*Q$2)</f>
        <v/>
      </c>
      <c r="R27" s="66">
        <f>($O27*R$2)</f>
        <v/>
      </c>
      <c r="S27" s="66">
        <f>($O27*S$2)</f>
        <v/>
      </c>
      <c r="T27" s="66">
        <f>($O27*T$2)</f>
        <v/>
      </c>
      <c r="U27" s="66">
        <f>($O27*U$2)</f>
        <v/>
      </c>
      <c r="V27" s="66">
        <f>($O27*V$2)</f>
        <v/>
      </c>
      <c r="W27" s="66">
        <f>($O27*W$2)</f>
        <v/>
      </c>
      <c r="X27" s="66">
        <f>($O27*X$2)</f>
        <v/>
      </c>
      <c r="Y27" s="66">
        <f>($O27*Y$2)</f>
        <v/>
      </c>
      <c r="Z27" s="67">
        <f>($O27*Z$2)</f>
        <v/>
      </c>
      <c r="AA27" s="66">
        <f>($O27*AA$2)</f>
        <v/>
      </c>
      <c r="AB27" s="66">
        <f>($O27*AB$2)</f>
        <v/>
      </c>
      <c r="AC27" s="66">
        <f>($O27*AC$2)</f>
        <v/>
      </c>
      <c r="AD27" s="66">
        <f>($O27*AD$2)</f>
        <v/>
      </c>
      <c r="AE27" s="66">
        <f>($O27*AE$2)</f>
        <v/>
      </c>
      <c r="AF27" s="66">
        <f>($O27*AF$2)</f>
        <v/>
      </c>
      <c r="AG27" s="115">
        <f>(AH27/O27)</f>
        <v/>
      </c>
      <c r="AH27" s="116" t="n">
        <v>30</v>
      </c>
      <c r="AI27" s="117">
        <f>(AH27*1.5)</f>
        <v/>
      </c>
      <c r="AJ27" s="118">
        <f>(AH27*2)</f>
        <v/>
      </c>
      <c r="AK27" s="119">
        <f>(AJ27+2)</f>
        <v/>
      </c>
      <c r="AL27" s="120">
        <f>(AH27*2.5)</f>
        <v/>
      </c>
      <c r="AM27" s="121">
        <f>(AH27*N27)*0.7</f>
        <v/>
      </c>
      <c r="AN27" s="73">
        <f>(1-(AO27)/(AH27*N27))</f>
        <v/>
      </c>
      <c r="AO27" s="121">
        <f>FLOOR(AM27,100)</f>
        <v/>
      </c>
      <c r="AP27" s="63" t="inlineStr">
        <is>
          <t>Blanco</t>
        </is>
      </c>
      <c r="AQ27" s="74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n"/>
      <c r="CD27" s="11" t="n"/>
      <c r="CE27" s="11" t="n"/>
      <c r="CF27" s="11" t="n"/>
      <c r="CG27" s="11" t="n"/>
      <c r="CH27" s="11" t="n"/>
      <c r="CI27" s="11" t="n"/>
    </row>
    <row r="28" ht="15" customFormat="1" customHeight="1" s="3" thickBot="1">
      <c r="A28" s="75">
        <f>(A27+1)</f>
        <v/>
      </c>
      <c r="B28" s="36" t="inlineStr">
        <is>
          <t xml:space="preserve">Cincoro   </t>
        </is>
      </c>
      <c r="C28" s="36" t="n">
        <v>966900</v>
      </c>
      <c r="D28" s="122" t="n">
        <v>0</v>
      </c>
      <c r="E28" s="122" t="n">
        <v>75.53</v>
      </c>
      <c r="F28" s="36" t="n">
        <v>0</v>
      </c>
      <c r="G28" s="36" t="n">
        <v>0</v>
      </c>
      <c r="H28" s="36" t="n">
        <v>1</v>
      </c>
      <c r="I28" s="36" t="n">
        <v>1</v>
      </c>
      <c r="J28" s="122" t="n">
        <v>76.16</v>
      </c>
      <c r="K28" s="36" t="n">
        <v>73.53</v>
      </c>
      <c r="L28" s="122">
        <f>(E28+(15%*E28))</f>
        <v/>
      </c>
      <c r="M28" s="36" t="n">
        <v>750</v>
      </c>
      <c r="N28" s="123">
        <f>(M28/29.5735)</f>
        <v/>
      </c>
      <c r="O28" s="124">
        <f>(L28/N28)</f>
        <v/>
      </c>
      <c r="P28" s="23">
        <f>($O28*P$2)</f>
        <v/>
      </c>
      <c r="Q28" s="23">
        <f>($O28*Q$2)</f>
        <v/>
      </c>
      <c r="R28" s="23">
        <f>($O28*R$2)</f>
        <v/>
      </c>
      <c r="S28" s="23">
        <f>($O28*S$2)</f>
        <v/>
      </c>
      <c r="T28" s="23">
        <f>($O28*T$2)</f>
        <v/>
      </c>
      <c r="U28" s="23">
        <f>($O28*U$2)</f>
        <v/>
      </c>
      <c r="V28" s="23">
        <f>($O28*V$2)</f>
        <v/>
      </c>
      <c r="W28" s="23">
        <f>($O28*W$2)</f>
        <v/>
      </c>
      <c r="X28" s="23">
        <f>($O28*X$2)</f>
        <v/>
      </c>
      <c r="Y28" s="23">
        <f>($O28*Y$2)</f>
        <v/>
      </c>
      <c r="Z28" s="23">
        <f>($O28*Z$2)</f>
        <v/>
      </c>
      <c r="AA28" s="23">
        <f>($O28*AA$2)</f>
        <v/>
      </c>
      <c r="AB28" s="13">
        <f>($O28*AB$2)</f>
        <v/>
      </c>
      <c r="AC28" s="23">
        <f>($O28*AC$2)</f>
        <v/>
      </c>
      <c r="AD28" s="23">
        <f>($O28*AD$2)</f>
        <v/>
      </c>
      <c r="AE28" s="23">
        <f>($O28*AE$2)</f>
        <v/>
      </c>
      <c r="AF28" s="23">
        <f>($O28*AF$2)</f>
        <v/>
      </c>
      <c r="AG28" s="94">
        <f>(AH28/O28)</f>
        <v/>
      </c>
      <c r="AH28" s="102" t="n">
        <v>29</v>
      </c>
      <c r="AI28" s="103">
        <f>(AH28*1.5)</f>
        <v/>
      </c>
      <c r="AJ28" s="104">
        <f>(AH28*2)</f>
        <v/>
      </c>
      <c r="AK28" s="119">
        <f>(AJ28+2)</f>
        <v/>
      </c>
      <c r="AL28" s="106">
        <f>(AH28*2.5)</f>
        <v/>
      </c>
      <c r="AM28" s="107">
        <f>(AH28*N28)*0.7</f>
        <v/>
      </c>
      <c r="AN28" s="55">
        <f>(1-(AO28)/(AH28*N28))</f>
        <v/>
      </c>
      <c r="AO28" s="107">
        <f>FLOOR(AM28,100)</f>
        <v/>
      </c>
      <c r="AP28" s="36" t="inlineStr">
        <is>
          <t>Blanco</t>
        </is>
      </c>
      <c r="AQ28" s="76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n"/>
      <c r="CD28" s="11" t="n"/>
      <c r="CE28" s="11" t="n"/>
      <c r="CF28" s="11" t="n"/>
      <c r="CG28" s="11" t="n"/>
      <c r="CH28" s="11" t="n"/>
      <c r="CI28" s="11" t="n"/>
    </row>
    <row r="29" ht="15" customHeight="1" thickBot="1">
      <c r="A29" s="75">
        <f>(A28+1)</f>
        <v/>
      </c>
      <c r="B29" s="36" t="inlineStr">
        <is>
          <t xml:space="preserve">Cazcanes   </t>
        </is>
      </c>
      <c r="C29" s="36" t="n">
        <v>1678</v>
      </c>
      <c r="D29" s="122" t="n">
        <v>0</v>
      </c>
      <c r="E29" s="122" t="n">
        <v>73.5</v>
      </c>
      <c r="F29" s="36" t="n">
        <v>0</v>
      </c>
      <c r="G29" s="36" t="n">
        <v>0</v>
      </c>
      <c r="H29" s="36" t="n">
        <v>1</v>
      </c>
      <c r="I29" s="36" t="n">
        <v>1</v>
      </c>
      <c r="J29" s="122" t="n">
        <v>73.5</v>
      </c>
      <c r="K29" s="36" t="n">
        <v>73.5</v>
      </c>
      <c r="L29" s="122">
        <f>(E29+(15%*E29))</f>
        <v/>
      </c>
      <c r="M29" s="36" t="n">
        <v>750</v>
      </c>
      <c r="N29" s="123">
        <f>(M29/29.5735)</f>
        <v/>
      </c>
      <c r="O29" s="124">
        <f>(L29/N29)</f>
        <v/>
      </c>
      <c r="P29" s="23">
        <f>($O29*P$2)</f>
        <v/>
      </c>
      <c r="Q29" s="23">
        <f>($O29*Q$2)</f>
        <v/>
      </c>
      <c r="R29" s="23">
        <f>($O29*R$2)</f>
        <v/>
      </c>
      <c r="S29" s="23">
        <f>($O29*S$2)</f>
        <v/>
      </c>
      <c r="T29" s="23">
        <f>($O29*T$2)</f>
        <v/>
      </c>
      <c r="U29" s="23">
        <f>($O29*U$2)</f>
        <v/>
      </c>
      <c r="V29" s="23">
        <f>($O29*V$2)</f>
        <v/>
      </c>
      <c r="W29" s="23">
        <f>($O29*W$2)</f>
        <v/>
      </c>
      <c r="X29" s="23">
        <f>($O29*X$2)</f>
        <v/>
      </c>
      <c r="Y29" s="23">
        <f>($O29*Y$2)</f>
        <v/>
      </c>
      <c r="Z29" s="23">
        <f>($O29*Z$2)</f>
        <v/>
      </c>
      <c r="AA29" s="23">
        <f>($O29*AA$2)</f>
        <v/>
      </c>
      <c r="AB29" s="23">
        <f>($O29*AB$2)</f>
        <v/>
      </c>
      <c r="AC29" s="23">
        <f>($O29*AC$2)</f>
        <v/>
      </c>
      <c r="AD29" s="13">
        <f>($O29*AD$2)</f>
        <v/>
      </c>
      <c r="AE29" s="23">
        <f>($O29*AE$2)</f>
        <v/>
      </c>
      <c r="AF29" s="23">
        <f>($O29*AF$2)</f>
        <v/>
      </c>
      <c r="AG29" s="94">
        <f>(AH29/O29)</f>
        <v/>
      </c>
      <c r="AH29" s="102" t="n">
        <v>28</v>
      </c>
      <c r="AI29" s="103">
        <f>(AH29*1.5)</f>
        <v/>
      </c>
      <c r="AJ29" s="104">
        <f>(AH29*2)</f>
        <v/>
      </c>
      <c r="AK29" s="119">
        <f>(AJ29+2)</f>
        <v/>
      </c>
      <c r="AL29" s="106">
        <f>(AH29*2.5)</f>
        <v/>
      </c>
      <c r="AM29" s="107">
        <f>(AH29*N29)*0.7</f>
        <v/>
      </c>
      <c r="AN29" s="55">
        <f>(1-(AO29)/(AH29*N29))</f>
        <v/>
      </c>
      <c r="AO29" s="107">
        <f>FLOOR(AM29,100)</f>
        <v/>
      </c>
      <c r="AP29" s="36" t="inlineStr">
        <is>
          <t>Blanco</t>
        </is>
      </c>
      <c r="AQ29" s="76" t="n"/>
    </row>
    <row r="30" ht="15" customHeight="1" thickBot="1">
      <c r="A30" s="75">
        <f>(A29+1)</f>
        <v/>
      </c>
      <c r="B30" s="36" t="inlineStr">
        <is>
          <t xml:space="preserve">Amatitena Origen HP   </t>
        </is>
      </c>
      <c r="C30" s="36" t="n">
        <v>400422</v>
      </c>
      <c r="D30" s="122" t="n">
        <v>0</v>
      </c>
      <c r="E30" s="122" t="n">
        <v>67.2</v>
      </c>
      <c r="F30" s="36" t="n">
        <v>0</v>
      </c>
      <c r="G30" s="36" t="n">
        <v>0</v>
      </c>
      <c r="H30" s="36" t="n">
        <v>1</v>
      </c>
      <c r="I30" s="36" t="n">
        <v>1</v>
      </c>
      <c r="J30" s="122" t="n">
        <v>69.3</v>
      </c>
      <c r="K30" s="36" t="n">
        <v>67.2</v>
      </c>
      <c r="L30" s="122">
        <f>(E30+(15%*E30))</f>
        <v/>
      </c>
      <c r="M30" s="36" t="n">
        <v>750</v>
      </c>
      <c r="N30" s="123">
        <f>(M30/29.5735)</f>
        <v/>
      </c>
      <c r="O30" s="124">
        <f>(L30/N30)</f>
        <v/>
      </c>
      <c r="P30" s="23">
        <f>($O30*P$2)</f>
        <v/>
      </c>
      <c r="Q30" s="23">
        <f>($O30*Q$2)</f>
        <v/>
      </c>
      <c r="R30" s="23">
        <f>($O30*R$2)</f>
        <v/>
      </c>
      <c r="S30" s="23">
        <f>($O30*S$2)</f>
        <v/>
      </c>
      <c r="T30" s="23">
        <f>($O30*T$2)</f>
        <v/>
      </c>
      <c r="U30" s="23">
        <f>($O30*U$2)</f>
        <v/>
      </c>
      <c r="V30" s="23">
        <f>($O30*V$2)</f>
        <v/>
      </c>
      <c r="W30" s="23">
        <f>($O30*W$2)</f>
        <v/>
      </c>
      <c r="X30" s="23">
        <f>($O30*X$2)</f>
        <v/>
      </c>
      <c r="Y30" s="23">
        <f>($O30*Y$2)</f>
        <v/>
      </c>
      <c r="Z30" s="23">
        <f>($O30*Z$2)</f>
        <v/>
      </c>
      <c r="AA30" s="23">
        <f>($O30*AA$2)</f>
        <v/>
      </c>
      <c r="AB30" s="23">
        <f>($O30*AB$2)</f>
        <v/>
      </c>
      <c r="AC30" s="23">
        <f>($O30*AC$2)</f>
        <v/>
      </c>
      <c r="AD30" s="23">
        <f>($O30*AD$2)</f>
        <v/>
      </c>
      <c r="AE30" s="13">
        <f>($O30*AE$2)</f>
        <v/>
      </c>
      <c r="AF30" s="23">
        <f>($O30*AF$2)</f>
        <v/>
      </c>
      <c r="AG30" s="94">
        <f>(AH30/O30)</f>
        <v/>
      </c>
      <c r="AH30" s="102" t="n">
        <v>27</v>
      </c>
      <c r="AI30" s="103">
        <f>(AH30*1.5)</f>
        <v/>
      </c>
      <c r="AJ30" s="104">
        <f>(AH30*2)</f>
        <v/>
      </c>
      <c r="AK30" s="119">
        <f>(AJ30+2)</f>
        <v/>
      </c>
      <c r="AL30" s="106">
        <f>(AH30*2.5)</f>
        <v/>
      </c>
      <c r="AM30" s="107">
        <f>(AH30*N30)*0.7</f>
        <v/>
      </c>
      <c r="AN30" s="55">
        <f>(1-(AO30)/(AH30*N30))</f>
        <v/>
      </c>
      <c r="AO30" s="107">
        <f>FLOOR(AM30,100)</f>
        <v/>
      </c>
      <c r="AP30" s="36" t="inlineStr">
        <is>
          <t>Blanco</t>
        </is>
      </c>
      <c r="AQ30" s="76" t="n"/>
    </row>
    <row r="31" ht="15" customHeight="1" thickBot="1">
      <c r="A31" s="75">
        <f>(A30+1)</f>
        <v/>
      </c>
      <c r="B31" s="36" t="inlineStr">
        <is>
          <t xml:space="preserve">Atanasio   </t>
        </is>
      </c>
      <c r="C31" s="36" t="n">
        <v>602014</v>
      </c>
      <c r="D31" s="122" t="n">
        <v>0</v>
      </c>
      <c r="E31" s="122" t="n">
        <v>62.33</v>
      </c>
      <c r="F31" s="36" t="n">
        <v>0</v>
      </c>
      <c r="G31" s="36" t="n">
        <v>0</v>
      </c>
      <c r="H31" s="36" t="n">
        <v>1</v>
      </c>
      <c r="I31" s="36" t="n">
        <v>1</v>
      </c>
      <c r="J31" s="122" t="n">
        <v>62.33</v>
      </c>
      <c r="K31" s="36" t="n">
        <v>62.33</v>
      </c>
      <c r="L31" s="122">
        <f>(E31+(15%*E31))</f>
        <v/>
      </c>
      <c r="M31" s="36" t="n">
        <v>750</v>
      </c>
      <c r="N31" s="123">
        <f>(M31/29.5735)</f>
        <v/>
      </c>
      <c r="O31" s="124">
        <f>(L31/N31)</f>
        <v/>
      </c>
      <c r="P31" s="23">
        <f>($O31*P$2)</f>
        <v/>
      </c>
      <c r="Q31" s="23">
        <f>($O31*Q$2)</f>
        <v/>
      </c>
      <c r="R31" s="23">
        <f>($O31*R$2)</f>
        <v/>
      </c>
      <c r="S31" s="23">
        <f>($O31*S$2)</f>
        <v/>
      </c>
      <c r="T31" s="23">
        <f>($O31*T$2)</f>
        <v/>
      </c>
      <c r="U31" s="23">
        <f>($O31*U$2)</f>
        <v/>
      </c>
      <c r="V31" s="23">
        <f>($O31*V$2)</f>
        <v/>
      </c>
      <c r="W31" s="23">
        <f>($O31*W$2)</f>
        <v/>
      </c>
      <c r="X31" s="23">
        <f>($O31*X$2)</f>
        <v/>
      </c>
      <c r="Y31" s="23">
        <f>($O31*Y$2)</f>
        <v/>
      </c>
      <c r="Z31" s="23">
        <f>($O31*Z$2)</f>
        <v/>
      </c>
      <c r="AA31" s="23">
        <f>($O31*AA$2)</f>
        <v/>
      </c>
      <c r="AB31" s="23">
        <f>($O31*AB$2)</f>
        <v/>
      </c>
      <c r="AC31" s="23">
        <f>($O31*AC$2)</f>
        <v/>
      </c>
      <c r="AD31" s="23">
        <f>($O31*AD$2)</f>
        <v/>
      </c>
      <c r="AE31" s="23">
        <f>($O31*AE$2)</f>
        <v/>
      </c>
      <c r="AF31" s="13">
        <f>($O31*AF$2)</f>
        <v/>
      </c>
      <c r="AG31" s="94">
        <f>(AH31/O31)</f>
        <v/>
      </c>
      <c r="AH31" s="102" t="n">
        <v>27</v>
      </c>
      <c r="AI31" s="103">
        <f>(AH31*1.5)</f>
        <v/>
      </c>
      <c r="AJ31" s="104">
        <f>(AH31*2)</f>
        <v/>
      </c>
      <c r="AK31" s="119">
        <f>(AJ31+2)</f>
        <v/>
      </c>
      <c r="AL31" s="106">
        <f>(AH31*2.5)</f>
        <v/>
      </c>
      <c r="AM31" s="107">
        <f>(AH31*N31)*0.7</f>
        <v/>
      </c>
      <c r="AN31" s="55">
        <f>(1-(AO31)/(AH31*N31))</f>
        <v/>
      </c>
      <c r="AO31" s="107">
        <f>FLOOR(AM31,100)</f>
        <v/>
      </c>
      <c r="AP31" s="36" t="inlineStr">
        <is>
          <t>Blanco</t>
        </is>
      </c>
      <c r="AQ31" s="76" t="n"/>
    </row>
    <row r="32" ht="15" customFormat="1" customHeight="1" s="3" thickBot="1">
      <c r="A32" s="75">
        <f>(A31+1)</f>
        <v/>
      </c>
      <c r="B32" s="36" t="inlineStr">
        <is>
          <t xml:space="preserve">Grand Mayan   </t>
        </is>
      </c>
      <c r="C32" s="36" t="n">
        <v>53101370</v>
      </c>
      <c r="D32" s="122" t="n">
        <v>0</v>
      </c>
      <c r="E32" s="122" t="n">
        <v>60.46</v>
      </c>
      <c r="F32" s="36" t="n">
        <v>0</v>
      </c>
      <c r="G32" s="36" t="n">
        <v>0</v>
      </c>
      <c r="H32" s="36" t="n">
        <v>1</v>
      </c>
      <c r="I32" s="36" t="n">
        <v>1</v>
      </c>
      <c r="J32" s="122" t="n">
        <v>60.46</v>
      </c>
      <c r="K32" s="36" t="n">
        <v>60.46</v>
      </c>
      <c r="L32" s="122">
        <f>(E32+(15%*E32))</f>
        <v/>
      </c>
      <c r="M32" s="36" t="n">
        <v>750</v>
      </c>
      <c r="N32" s="123">
        <f>(M32/29.5735)</f>
        <v/>
      </c>
      <c r="O32" s="124">
        <f>(L32/N32)</f>
        <v/>
      </c>
      <c r="P32" s="23">
        <f>($O32*P$2)</f>
        <v/>
      </c>
      <c r="Q32" s="23">
        <f>($O32*Q$2)</f>
        <v/>
      </c>
      <c r="R32" s="23">
        <f>($O32*R$2)</f>
        <v/>
      </c>
      <c r="S32" s="23">
        <f>($O32*S$2)</f>
        <v/>
      </c>
      <c r="T32" s="23">
        <f>($O32*T$2)</f>
        <v/>
      </c>
      <c r="U32" s="23">
        <f>($O32*U$2)</f>
        <v/>
      </c>
      <c r="V32" s="23">
        <f>($O32*V$2)</f>
        <v/>
      </c>
      <c r="W32" s="23">
        <f>($O32*W$2)</f>
        <v/>
      </c>
      <c r="X32" s="23">
        <f>($O32*X$2)</f>
        <v/>
      </c>
      <c r="Y32" s="23">
        <f>($O32*Y$2)</f>
        <v/>
      </c>
      <c r="Z32" s="23">
        <f>($O32*Z$2)</f>
        <v/>
      </c>
      <c r="AA32" s="23">
        <f>($O32*AA$2)</f>
        <v/>
      </c>
      <c r="AB32" s="23">
        <f>($O32*AB$2)</f>
        <v/>
      </c>
      <c r="AC32" s="23">
        <f>($O32*AC$2)</f>
        <v/>
      </c>
      <c r="AD32" s="23">
        <f>($O32*AD$2)</f>
        <v/>
      </c>
      <c r="AE32" s="23">
        <f>($O32*AE$2)</f>
        <v/>
      </c>
      <c r="AF32" s="13">
        <f>($O32*AF$2)</f>
        <v/>
      </c>
      <c r="AG32" s="94">
        <f>(AH32/O32)</f>
        <v/>
      </c>
      <c r="AH32" s="102">
        <f>(O32*10)</f>
        <v/>
      </c>
      <c r="AI32" s="103">
        <f>(AH32*1.5)</f>
        <v/>
      </c>
      <c r="AJ32" s="104">
        <f>(AH32*2)</f>
        <v/>
      </c>
      <c r="AK32" s="119">
        <f>(AJ32+2)</f>
        <v/>
      </c>
      <c r="AL32" s="106">
        <f>(AH32*2.5)</f>
        <v/>
      </c>
      <c r="AM32" s="107">
        <f>(AH32*N32)*0.7</f>
        <v/>
      </c>
      <c r="AN32" s="55">
        <f>(1-(AO32)/(AH32*N32))</f>
        <v/>
      </c>
      <c r="AO32" s="107">
        <f>FLOOR(AM32,100)</f>
        <v/>
      </c>
      <c r="AP32" s="36" t="inlineStr">
        <is>
          <t>Blanco</t>
        </is>
      </c>
      <c r="AQ32" s="76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</row>
    <row r="33" ht="15" customFormat="1" customHeight="1" s="3" thickBot="1">
      <c r="A33" s="75">
        <f>(A32+1)</f>
        <v/>
      </c>
      <c r="B33" s="36" t="inlineStr">
        <is>
          <t xml:space="preserve">Amatitena   </t>
        </is>
      </c>
      <c r="C33" s="36" t="n">
        <v>400421</v>
      </c>
      <c r="D33" s="122" t="n">
        <v>0</v>
      </c>
      <c r="E33" s="122" t="n">
        <v>56.7</v>
      </c>
      <c r="F33" s="36" t="n">
        <v>0</v>
      </c>
      <c r="G33" s="36" t="n">
        <v>0</v>
      </c>
      <c r="H33" s="36" t="n">
        <v>1</v>
      </c>
      <c r="I33" s="36" t="n">
        <v>1</v>
      </c>
      <c r="J33" s="122" t="n">
        <v>58.8</v>
      </c>
      <c r="K33" s="36" t="n">
        <v>56.7</v>
      </c>
      <c r="L33" s="122">
        <f>(E33+(15%*E33))</f>
        <v/>
      </c>
      <c r="M33" s="36" t="n">
        <v>750</v>
      </c>
      <c r="N33" s="123">
        <f>(M33/29.5735)</f>
        <v/>
      </c>
      <c r="O33" s="124">
        <f>(L33/N33)</f>
        <v/>
      </c>
      <c r="P33" s="23">
        <f>($O33*P$2)</f>
        <v/>
      </c>
      <c r="Q33" s="23">
        <f>($O33*Q$2)</f>
        <v/>
      </c>
      <c r="R33" s="23">
        <f>($O33*R$2)</f>
        <v/>
      </c>
      <c r="S33" s="23">
        <f>($O33*S$2)</f>
        <v/>
      </c>
      <c r="T33" s="23">
        <f>($O33*T$2)</f>
        <v/>
      </c>
      <c r="U33" s="23">
        <f>($O33*U$2)</f>
        <v/>
      </c>
      <c r="V33" s="23">
        <f>($O33*V$2)</f>
        <v/>
      </c>
      <c r="W33" s="23">
        <f>($O33*W$2)</f>
        <v/>
      </c>
      <c r="X33" s="23">
        <f>($O33*X$2)</f>
        <v/>
      </c>
      <c r="Y33" s="23">
        <f>($O33*Y$2)</f>
        <v/>
      </c>
      <c r="Z33" s="23">
        <f>($O33*Z$2)</f>
        <v/>
      </c>
      <c r="AA33" s="23">
        <f>($O33*AA$2)</f>
        <v/>
      </c>
      <c r="AB33" s="23">
        <f>($O33*AB$2)</f>
        <v/>
      </c>
      <c r="AC33" s="23">
        <f>($O33*AC$2)</f>
        <v/>
      </c>
      <c r="AD33" s="23">
        <f>($O33*AD$2)</f>
        <v/>
      </c>
      <c r="AE33" s="23">
        <f>($O33*AE$2)</f>
        <v/>
      </c>
      <c r="AF33" s="13">
        <f>($O33*AF$2)</f>
        <v/>
      </c>
      <c r="AG33" s="94">
        <f>(AH33/O33)</f>
        <v/>
      </c>
      <c r="AH33" s="102">
        <f>(O33*10)</f>
        <v/>
      </c>
      <c r="AI33" s="103">
        <f>(AH33*1.5)</f>
        <v/>
      </c>
      <c r="AJ33" s="104">
        <f>(AH33*2)</f>
        <v/>
      </c>
      <c r="AK33" s="119">
        <f>(AJ33+2)</f>
        <v/>
      </c>
      <c r="AL33" s="106">
        <f>(AH33*2.5)</f>
        <v/>
      </c>
      <c r="AM33" s="107">
        <f>(AH33*N33)*0.7</f>
        <v/>
      </c>
      <c r="AN33" s="55">
        <f>(1-(AO33)/(AH33*N33))</f>
        <v/>
      </c>
      <c r="AO33" s="107">
        <f>FLOOR(AM33,100)</f>
        <v/>
      </c>
      <c r="AP33" s="36" t="inlineStr">
        <is>
          <t>Blanco</t>
        </is>
      </c>
      <c r="AQ33" s="76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n"/>
      <c r="CD33" s="11" t="n"/>
      <c r="CE33" s="11" t="n"/>
      <c r="CF33" s="11" t="n"/>
      <c r="CG33" s="11" t="n"/>
      <c r="CH33" s="11" t="n"/>
      <c r="CI33" s="11" t="n"/>
    </row>
    <row r="34" ht="15" customFormat="1" customHeight="1" s="3" thickBot="1">
      <c r="A34" s="75">
        <f>(A33+1)</f>
        <v/>
      </c>
      <c r="B34" s="36" t="inlineStr">
        <is>
          <t xml:space="preserve">Primo 1861   </t>
        </is>
      </c>
      <c r="C34" s="36" t="n">
        <v>400330</v>
      </c>
      <c r="D34" s="122" t="n">
        <v>0</v>
      </c>
      <c r="E34" s="122" t="n">
        <v>56.7</v>
      </c>
      <c r="F34" s="36" t="n">
        <v>0</v>
      </c>
      <c r="G34" s="36" t="n">
        <v>0</v>
      </c>
      <c r="H34" s="36" t="n">
        <v>1</v>
      </c>
      <c r="I34" s="36" t="n">
        <v>1</v>
      </c>
      <c r="J34" s="122" t="n">
        <v>56.7</v>
      </c>
      <c r="K34" s="36" t="n">
        <v>56.7</v>
      </c>
      <c r="L34" s="122">
        <f>(E34+(15%*E34))</f>
        <v/>
      </c>
      <c r="M34" s="36" t="n">
        <v>750</v>
      </c>
      <c r="N34" s="123">
        <f>(M34/29.5735)</f>
        <v/>
      </c>
      <c r="O34" s="124">
        <f>(L34/N34)</f>
        <v/>
      </c>
      <c r="P34" s="23">
        <f>($O34*P$2)</f>
        <v/>
      </c>
      <c r="Q34" s="23">
        <f>($O34*Q$2)</f>
        <v/>
      </c>
      <c r="R34" s="23">
        <f>($O34*R$2)</f>
        <v/>
      </c>
      <c r="S34" s="23">
        <f>($O34*S$2)</f>
        <v/>
      </c>
      <c r="T34" s="23">
        <f>($O34*T$2)</f>
        <v/>
      </c>
      <c r="U34" s="23">
        <f>($O34*U$2)</f>
        <v/>
      </c>
      <c r="V34" s="23">
        <f>($O34*V$2)</f>
        <v/>
      </c>
      <c r="W34" s="23">
        <f>($O34*W$2)</f>
        <v/>
      </c>
      <c r="X34" s="23">
        <f>($O34*X$2)</f>
        <v/>
      </c>
      <c r="Y34" s="23">
        <f>($O34*Y$2)</f>
        <v/>
      </c>
      <c r="Z34" s="23">
        <f>($O34*Z$2)</f>
        <v/>
      </c>
      <c r="AA34" s="23">
        <f>($O34*AA$2)</f>
        <v/>
      </c>
      <c r="AB34" s="23">
        <f>($O34*AB$2)</f>
        <v/>
      </c>
      <c r="AC34" s="23">
        <f>($O34*AC$2)</f>
        <v/>
      </c>
      <c r="AD34" s="23">
        <f>($O34*AD$2)</f>
        <v/>
      </c>
      <c r="AE34" s="23">
        <f>($O34*AE$2)</f>
        <v/>
      </c>
      <c r="AF34" s="13">
        <f>($O34*AF$2)</f>
        <v/>
      </c>
      <c r="AG34" s="94">
        <f>(AH34/O34)</f>
        <v/>
      </c>
      <c r="AH34" s="102">
        <f>(O34*10)</f>
        <v/>
      </c>
      <c r="AI34" s="103">
        <f>(AH34*1.5)</f>
        <v/>
      </c>
      <c r="AJ34" s="104">
        <f>(AH34*2)</f>
        <v/>
      </c>
      <c r="AK34" s="119">
        <f>(AJ34+2)</f>
        <v/>
      </c>
      <c r="AL34" s="106">
        <f>(AH34*2.5)</f>
        <v/>
      </c>
      <c r="AM34" s="107">
        <f>(AH34*N34)*0.7</f>
        <v/>
      </c>
      <c r="AN34" s="55">
        <f>(1-(AO34)/(AH34*N34))</f>
        <v/>
      </c>
      <c r="AO34" s="107">
        <f>FLOOR(AM34,100)</f>
        <v/>
      </c>
      <c r="AP34" s="36" t="inlineStr">
        <is>
          <t>Blanco</t>
        </is>
      </c>
      <c r="AQ34" s="76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n"/>
      <c r="CD34" s="11" t="n"/>
      <c r="CE34" s="11" t="n"/>
      <c r="CF34" s="11" t="n"/>
      <c r="CG34" s="11" t="n"/>
      <c r="CH34" s="11" t="n"/>
      <c r="CI34" s="11" t="n"/>
    </row>
    <row r="35" ht="15" customHeight="1" thickBot="1">
      <c r="A35" s="75">
        <f>(A34+1)</f>
        <v/>
      </c>
      <c r="B35" s="36" t="inlineStr">
        <is>
          <t xml:space="preserve">Chamucos Diablo   </t>
        </is>
      </c>
      <c r="C35" s="36" t="n">
        <v>530045</v>
      </c>
      <c r="D35" s="122" t="n">
        <v>0</v>
      </c>
      <c r="E35" s="122" t="n">
        <v>50.64</v>
      </c>
      <c r="F35" s="36" t="n">
        <v>0</v>
      </c>
      <c r="G35" s="36" t="n">
        <v>0</v>
      </c>
      <c r="H35" s="36" t="n">
        <v>1</v>
      </c>
      <c r="I35" s="36" t="n">
        <v>1</v>
      </c>
      <c r="J35" s="122" t="n">
        <v>52.74</v>
      </c>
      <c r="K35" s="36" t="n">
        <v>50.64</v>
      </c>
      <c r="L35" s="122">
        <f>(E35+(15%*E35))</f>
        <v/>
      </c>
      <c r="M35" s="36" t="n">
        <v>750</v>
      </c>
      <c r="N35" s="123">
        <f>(M35/29.5735)</f>
        <v/>
      </c>
      <c r="O35" s="124">
        <f>(L35/N35)</f>
        <v/>
      </c>
      <c r="P35" s="23">
        <f>($O35*P$2)</f>
        <v/>
      </c>
      <c r="Q35" s="23">
        <f>($O35*Q$2)</f>
        <v/>
      </c>
      <c r="R35" s="23">
        <f>($O35*R$2)</f>
        <v/>
      </c>
      <c r="S35" s="23">
        <f>($O35*S$2)</f>
        <v/>
      </c>
      <c r="T35" s="23">
        <f>($O35*T$2)</f>
        <v/>
      </c>
      <c r="U35" s="23">
        <f>($O35*U$2)</f>
        <v/>
      </c>
      <c r="V35" s="23">
        <f>($O35*V$2)</f>
        <v/>
      </c>
      <c r="W35" s="23">
        <f>($O35*W$2)</f>
        <v/>
      </c>
      <c r="X35" s="23">
        <f>($O35*X$2)</f>
        <v/>
      </c>
      <c r="Y35" s="23">
        <f>($O35*Y$2)</f>
        <v/>
      </c>
      <c r="Z35" s="23">
        <f>($O35*Z$2)</f>
        <v/>
      </c>
      <c r="AA35" s="23">
        <f>($O35*AA$2)</f>
        <v/>
      </c>
      <c r="AB35" s="23">
        <f>($O35*AB$2)</f>
        <v/>
      </c>
      <c r="AC35" s="23">
        <f>($O35*AC$2)</f>
        <v/>
      </c>
      <c r="AD35" s="23">
        <f>($O35*AD$2)</f>
        <v/>
      </c>
      <c r="AE35" s="23">
        <f>($O35*AE$2)</f>
        <v/>
      </c>
      <c r="AF35" s="13">
        <f>($O35*AF$2)</f>
        <v/>
      </c>
      <c r="AG35" s="94">
        <f>(AH35/O35)</f>
        <v/>
      </c>
      <c r="AH35" s="102" t="n">
        <v>24</v>
      </c>
      <c r="AI35" s="103">
        <f>(AH35*1.5)</f>
        <v/>
      </c>
      <c r="AJ35" s="104">
        <f>(AH35*2)</f>
        <v/>
      </c>
      <c r="AK35" s="119">
        <f>(AJ35+2)</f>
        <v/>
      </c>
      <c r="AL35" s="106">
        <f>(AH35*2.5)</f>
        <v/>
      </c>
      <c r="AM35" s="107">
        <f>(AH35*N35)*0.7</f>
        <v/>
      </c>
      <c r="AN35" s="55">
        <f>(1-(AO35)/(AH35*N35))</f>
        <v/>
      </c>
      <c r="AO35" s="107">
        <f>FLOOR(AM35,100)</f>
        <v/>
      </c>
      <c r="AP35" s="36" t="inlineStr">
        <is>
          <t>Blanco</t>
        </is>
      </c>
      <c r="AQ35" s="76" t="n"/>
    </row>
    <row r="36" ht="15" customHeight="1" thickBot="1">
      <c r="A36" s="75">
        <f>(A35+1)</f>
        <v/>
      </c>
      <c r="B36" s="36" t="inlineStr">
        <is>
          <t xml:space="preserve">Arette Artesanal   </t>
        </is>
      </c>
      <c r="C36" s="36" t="n">
        <v>114002</v>
      </c>
      <c r="D36" s="122" t="n">
        <v>0</v>
      </c>
      <c r="E36" s="122" t="n">
        <v>48.04</v>
      </c>
      <c r="F36" s="36" t="n">
        <v>0</v>
      </c>
      <c r="G36" s="36" t="n">
        <v>0</v>
      </c>
      <c r="H36" s="36" t="n">
        <v>1</v>
      </c>
      <c r="I36" s="36" t="n">
        <v>1</v>
      </c>
      <c r="J36" s="122" t="n">
        <v>48.04</v>
      </c>
      <c r="K36" s="36" t="n">
        <v>48.04</v>
      </c>
      <c r="L36" s="122">
        <f>(E36+(15%*E36))</f>
        <v/>
      </c>
      <c r="M36" s="36" t="n">
        <v>750</v>
      </c>
      <c r="N36" s="123">
        <f>(M36/29.5735)</f>
        <v/>
      </c>
      <c r="O36" s="124">
        <f>(L36/N36)</f>
        <v/>
      </c>
      <c r="P36" s="23">
        <f>($O36*P$2)</f>
        <v/>
      </c>
      <c r="Q36" s="23">
        <f>($O36*Q$2)</f>
        <v/>
      </c>
      <c r="R36" s="23">
        <f>($O36*R$2)</f>
        <v/>
      </c>
      <c r="S36" s="23">
        <f>($O36*S$2)</f>
        <v/>
      </c>
      <c r="T36" s="23">
        <f>($O36*T$2)</f>
        <v/>
      </c>
      <c r="U36" s="23">
        <f>($O36*U$2)</f>
        <v/>
      </c>
      <c r="V36" s="23">
        <f>($O36*V$2)</f>
        <v/>
      </c>
      <c r="W36" s="23">
        <f>($O36*W$2)</f>
        <v/>
      </c>
      <c r="X36" s="23">
        <f>($O36*X$2)</f>
        <v/>
      </c>
      <c r="Y36" s="23">
        <f>($O36*Y$2)</f>
        <v/>
      </c>
      <c r="Z36" s="23">
        <f>($O36*Z$2)</f>
        <v/>
      </c>
      <c r="AA36" s="23">
        <f>($O36*AA$2)</f>
        <v/>
      </c>
      <c r="AB36" s="23">
        <f>($O36*AB$2)</f>
        <v/>
      </c>
      <c r="AC36" s="23">
        <f>($O36*AC$2)</f>
        <v/>
      </c>
      <c r="AD36" s="23">
        <f>($O36*AD$2)</f>
        <v/>
      </c>
      <c r="AE36" s="23">
        <f>($O36*AE$2)</f>
        <v/>
      </c>
      <c r="AF36" s="13">
        <f>($O36*AF$2)</f>
        <v/>
      </c>
      <c r="AG36" s="94">
        <f>(AH36/O36)</f>
        <v/>
      </c>
      <c r="AH36" s="102">
        <f>(O36*10)</f>
        <v/>
      </c>
      <c r="AI36" s="103">
        <f>(AH36*1.5)</f>
        <v/>
      </c>
      <c r="AJ36" s="104">
        <f>(AH36*2)</f>
        <v/>
      </c>
      <c r="AK36" s="119">
        <f>(AJ36+2)</f>
        <v/>
      </c>
      <c r="AL36" s="106">
        <f>(AH36*2.5)</f>
        <v/>
      </c>
      <c r="AM36" s="107">
        <f>(AH36*N36)*0.7</f>
        <v/>
      </c>
      <c r="AN36" s="55">
        <f>(1-(AO36)/(AH36*N36))</f>
        <v/>
      </c>
      <c r="AO36" s="107">
        <f>FLOOR(AM36,100)</f>
        <v/>
      </c>
      <c r="AP36" s="36" t="inlineStr">
        <is>
          <t>Blanco</t>
        </is>
      </c>
      <c r="AQ36" s="76" t="n"/>
    </row>
    <row r="37" ht="15" customHeight="1" thickBot="1">
      <c r="A37" s="75">
        <f>(A36+1)</f>
        <v/>
      </c>
      <c r="B37" s="36" t="inlineStr">
        <is>
          <t xml:space="preserve">Santo  110pf  </t>
        </is>
      </c>
      <c r="C37" s="36" t="n">
        <v>552642</v>
      </c>
      <c r="D37" s="122" t="n">
        <v>0</v>
      </c>
      <c r="E37" s="122" t="n">
        <v>44.51</v>
      </c>
      <c r="F37" s="36" t="n">
        <v>0</v>
      </c>
      <c r="G37" s="36" t="n">
        <v>0</v>
      </c>
      <c r="H37" s="36" t="n">
        <v>1</v>
      </c>
      <c r="I37" s="36" t="n">
        <v>1</v>
      </c>
      <c r="J37" s="122" t="n">
        <v>47.26</v>
      </c>
      <c r="K37" s="36" t="n">
        <v>44.51</v>
      </c>
      <c r="L37" s="122">
        <f>(E37+(15%*E37))</f>
        <v/>
      </c>
      <c r="M37" s="36" t="n">
        <v>750</v>
      </c>
      <c r="N37" s="123">
        <f>(M37/29.5735)</f>
        <v/>
      </c>
      <c r="O37" s="124">
        <f>(L37/N37)</f>
        <v/>
      </c>
      <c r="P37" s="23">
        <f>($O37*P$2)</f>
        <v/>
      </c>
      <c r="Q37" s="23">
        <f>($O37*Q$2)</f>
        <v/>
      </c>
      <c r="R37" s="23">
        <f>($O37*R$2)</f>
        <v/>
      </c>
      <c r="S37" s="23">
        <f>($O37*S$2)</f>
        <v/>
      </c>
      <c r="T37" s="23">
        <f>($O37*T$2)</f>
        <v/>
      </c>
      <c r="U37" s="23">
        <f>($O37*U$2)</f>
        <v/>
      </c>
      <c r="V37" s="23">
        <f>($O37*V$2)</f>
        <v/>
      </c>
      <c r="W37" s="23">
        <f>($O37*W$2)</f>
        <v/>
      </c>
      <c r="X37" s="23">
        <f>($O37*X$2)</f>
        <v/>
      </c>
      <c r="Y37" s="23">
        <f>($O37*Y$2)</f>
        <v/>
      </c>
      <c r="Z37" s="23">
        <f>($O37*Z$2)</f>
        <v/>
      </c>
      <c r="AA37" s="23">
        <f>($O37*AA$2)</f>
        <v/>
      </c>
      <c r="AB37" s="23">
        <f>($O37*AB$2)</f>
        <v/>
      </c>
      <c r="AC37" s="23">
        <f>($O37*AC$2)</f>
        <v/>
      </c>
      <c r="AD37" s="23">
        <f>($O37*AD$2)</f>
        <v/>
      </c>
      <c r="AE37" s="23">
        <f>($O37*AE$2)</f>
        <v/>
      </c>
      <c r="AF37" s="13">
        <f>($O37*AF$2)</f>
        <v/>
      </c>
      <c r="AG37" s="94">
        <f>(AH37/O37)</f>
        <v/>
      </c>
      <c r="AH37" s="102" t="n">
        <v>22</v>
      </c>
      <c r="AI37" s="103">
        <f>(AH37*1.5)</f>
        <v/>
      </c>
      <c r="AJ37" s="104">
        <f>(AH37*2)</f>
        <v/>
      </c>
      <c r="AK37" s="119">
        <f>(AJ37+2)</f>
        <v/>
      </c>
      <c r="AL37" s="106">
        <f>(AH37*2.5)</f>
        <v/>
      </c>
      <c r="AM37" s="107">
        <f>(AH37*N37)*0.7</f>
        <v/>
      </c>
      <c r="AN37" s="55">
        <f>(1-(AO37)/(AH37*N37))</f>
        <v/>
      </c>
      <c r="AO37" s="107">
        <f>FLOOR(AM37,100)</f>
        <v/>
      </c>
      <c r="AP37" s="36" t="inlineStr">
        <is>
          <t>Blanco</t>
        </is>
      </c>
      <c r="AQ37" s="76" t="n"/>
    </row>
    <row r="38" ht="15" customHeight="1" thickBot="1">
      <c r="A38" s="75">
        <f>(A37+1)</f>
        <v/>
      </c>
      <c r="B38" s="36" t="inlineStr">
        <is>
          <t xml:space="preserve">Paladar   </t>
        </is>
      </c>
      <c r="C38" s="36" t="n">
        <v>400384</v>
      </c>
      <c r="D38" s="122" t="n">
        <v>0</v>
      </c>
      <c r="E38" s="122" t="n">
        <v>44.1</v>
      </c>
      <c r="F38" s="36" t="n">
        <v>0</v>
      </c>
      <c r="G38" s="36" t="n">
        <v>0</v>
      </c>
      <c r="H38" s="36" t="n">
        <v>1</v>
      </c>
      <c r="I38" s="36" t="n">
        <v>1</v>
      </c>
      <c r="J38" s="122" t="n">
        <v>46.2</v>
      </c>
      <c r="K38" s="36" t="n">
        <v>44.1</v>
      </c>
      <c r="L38" s="122">
        <f>(E38+(15%*E38))</f>
        <v/>
      </c>
      <c r="M38" s="36" t="n">
        <v>750</v>
      </c>
      <c r="N38" s="123">
        <f>(M38/29.5735)</f>
        <v/>
      </c>
      <c r="O38" s="124">
        <f>(L38/N38)</f>
        <v/>
      </c>
      <c r="P38" s="23">
        <f>($O38*P$2)</f>
        <v/>
      </c>
      <c r="Q38" s="23">
        <f>($O38*Q$2)</f>
        <v/>
      </c>
      <c r="R38" s="23">
        <f>($O38*R$2)</f>
        <v/>
      </c>
      <c r="S38" s="23">
        <f>($O38*S$2)</f>
        <v/>
      </c>
      <c r="T38" s="23">
        <f>($O38*T$2)</f>
        <v/>
      </c>
      <c r="U38" s="23">
        <f>($O38*U$2)</f>
        <v/>
      </c>
      <c r="V38" s="23">
        <f>($O38*V$2)</f>
        <v/>
      </c>
      <c r="W38" s="23">
        <f>($O38*W$2)</f>
        <v/>
      </c>
      <c r="X38" s="23">
        <f>($O38*X$2)</f>
        <v/>
      </c>
      <c r="Y38" s="23">
        <f>($O38*Y$2)</f>
        <v/>
      </c>
      <c r="Z38" s="23">
        <f>($O38*Z$2)</f>
        <v/>
      </c>
      <c r="AA38" s="23">
        <f>($O38*AA$2)</f>
        <v/>
      </c>
      <c r="AB38" s="23">
        <f>($O38*AB$2)</f>
        <v/>
      </c>
      <c r="AC38" s="23">
        <f>($O38*AC$2)</f>
        <v/>
      </c>
      <c r="AD38" s="23">
        <f>($O38*AD$2)</f>
        <v/>
      </c>
      <c r="AE38" s="23">
        <f>($O38*AE$2)</f>
        <v/>
      </c>
      <c r="AF38" s="13">
        <f>($O38*AF$2)</f>
        <v/>
      </c>
      <c r="AG38" s="94">
        <f>(AH38/O38)</f>
        <v/>
      </c>
      <c r="AH38" s="102" t="n">
        <v>22</v>
      </c>
      <c r="AI38" s="103">
        <f>(AH38*1.5)</f>
        <v/>
      </c>
      <c r="AJ38" s="104">
        <f>(AH38*2)</f>
        <v/>
      </c>
      <c r="AK38" s="119">
        <f>(AJ38+2)</f>
        <v/>
      </c>
      <c r="AL38" s="106">
        <f>(AH38*2.5)</f>
        <v/>
      </c>
      <c r="AM38" s="107">
        <f>(AH38*N38)*0.7</f>
        <v/>
      </c>
      <c r="AN38" s="55">
        <f>(1-(AO38)/(AH38*N38))</f>
        <v/>
      </c>
      <c r="AO38" s="107">
        <f>FLOOR(AM38,100)</f>
        <v/>
      </c>
      <c r="AP38" s="36" t="inlineStr">
        <is>
          <t>Blanco</t>
        </is>
      </c>
      <c r="AQ38" s="76" t="n"/>
    </row>
    <row r="39" ht="15" customHeight="1" thickBot="1">
      <c r="A39" s="75">
        <f>(A38+1)</f>
        <v/>
      </c>
      <c r="B39" s="36" t="inlineStr">
        <is>
          <t xml:space="preserve">Siete Leguas   </t>
        </is>
      </c>
      <c r="C39" s="36" t="n">
        <v>17347009</v>
      </c>
      <c r="D39" s="122" t="n">
        <v>0</v>
      </c>
      <c r="E39" s="122" t="n">
        <v>43.3</v>
      </c>
      <c r="F39" s="36" t="n">
        <v>0</v>
      </c>
      <c r="G39" s="36" t="n">
        <v>0</v>
      </c>
      <c r="H39" s="36" t="n">
        <v>1</v>
      </c>
      <c r="I39" s="36" t="n">
        <v>1</v>
      </c>
      <c r="J39" s="122" t="n">
        <v>45.4</v>
      </c>
      <c r="K39" s="36" t="n">
        <v>43.3</v>
      </c>
      <c r="L39" s="122">
        <f>(E39+(15%*E39))</f>
        <v/>
      </c>
      <c r="M39" s="36" t="n">
        <v>750</v>
      </c>
      <c r="N39" s="123">
        <f>(M39/29.5735)</f>
        <v/>
      </c>
      <c r="O39" s="124">
        <f>(L39/N39)</f>
        <v/>
      </c>
      <c r="P39" s="23">
        <f>($O39*P$2)</f>
        <v/>
      </c>
      <c r="Q39" s="23">
        <f>($O39*Q$2)</f>
        <v/>
      </c>
      <c r="R39" s="23">
        <f>($O39*R$2)</f>
        <v/>
      </c>
      <c r="S39" s="23">
        <f>($O39*S$2)</f>
        <v/>
      </c>
      <c r="T39" s="23">
        <f>($O39*T$2)</f>
        <v/>
      </c>
      <c r="U39" s="23">
        <f>($O39*U$2)</f>
        <v/>
      </c>
      <c r="V39" s="23">
        <f>($O39*V$2)</f>
        <v/>
      </c>
      <c r="W39" s="23">
        <f>($O39*W$2)</f>
        <v/>
      </c>
      <c r="X39" s="23">
        <f>($O39*X$2)</f>
        <v/>
      </c>
      <c r="Y39" s="23">
        <f>($O39*Y$2)</f>
        <v/>
      </c>
      <c r="Z39" s="23">
        <f>($O39*Z$2)</f>
        <v/>
      </c>
      <c r="AA39" s="23">
        <f>($O39*AA$2)</f>
        <v/>
      </c>
      <c r="AB39" s="23">
        <f>($O39*AB$2)</f>
        <v/>
      </c>
      <c r="AC39" s="23">
        <f>($O39*AC$2)</f>
        <v/>
      </c>
      <c r="AD39" s="23">
        <f>($O39*AD$2)</f>
        <v/>
      </c>
      <c r="AE39" s="23">
        <f>($O39*AE$2)</f>
        <v/>
      </c>
      <c r="AF39" s="13">
        <f>($O39*AF$2)</f>
        <v/>
      </c>
      <c r="AG39" s="94">
        <f>(AH39/O39)</f>
        <v/>
      </c>
      <c r="AH39" s="102" t="n">
        <v>22</v>
      </c>
      <c r="AI39" s="103">
        <f>(AH39*1.5)</f>
        <v/>
      </c>
      <c r="AJ39" s="104">
        <f>(AH39*2)</f>
        <v/>
      </c>
      <c r="AK39" s="119">
        <f>(AJ39+2)</f>
        <v/>
      </c>
      <c r="AL39" s="106">
        <f>(AH39*2.5)</f>
        <v/>
      </c>
      <c r="AM39" s="107">
        <f>(AH39*N39)*0.7</f>
        <v/>
      </c>
      <c r="AN39" s="55">
        <f>(1-(AO39)/(AH39*N39))</f>
        <v/>
      </c>
      <c r="AO39" s="107">
        <f>FLOOR(AM39,100)</f>
        <v/>
      </c>
      <c r="AP39" s="36" t="inlineStr">
        <is>
          <t>Blanco</t>
        </is>
      </c>
      <c r="AQ39" s="76" t="n"/>
    </row>
    <row r="40" ht="15" customHeight="1" thickBot="1">
      <c r="A40" s="75">
        <f>(A39+1)</f>
        <v/>
      </c>
      <c r="B40" s="36" t="inlineStr">
        <is>
          <t xml:space="preserve">Adictivo   </t>
        </is>
      </c>
      <c r="C40" s="36" t="n">
        <v>81401370</v>
      </c>
      <c r="D40" s="122" t="n">
        <v>0</v>
      </c>
      <c r="E40" s="122" t="n">
        <v>44.12</v>
      </c>
      <c r="F40" s="36" t="n">
        <v>0</v>
      </c>
      <c r="G40" s="36" t="n">
        <v>0</v>
      </c>
      <c r="H40" s="36" t="n">
        <v>1</v>
      </c>
      <c r="I40" s="36" t="n">
        <v>1</v>
      </c>
      <c r="J40" s="122" t="n">
        <v>44.12</v>
      </c>
      <c r="K40" s="36" t="n">
        <v>44.12</v>
      </c>
      <c r="L40" s="122">
        <f>(E40+(15%*E40))</f>
        <v/>
      </c>
      <c r="M40" s="36" t="n">
        <v>750</v>
      </c>
      <c r="N40" s="123">
        <f>(M40/29.5735)</f>
        <v/>
      </c>
      <c r="O40" s="124">
        <f>(L40/N40)</f>
        <v/>
      </c>
      <c r="P40" s="23">
        <f>($O40*P$2)</f>
        <v/>
      </c>
      <c r="Q40" s="23">
        <f>($O40*Q$2)</f>
        <v/>
      </c>
      <c r="R40" s="23">
        <f>($O40*R$2)</f>
        <v/>
      </c>
      <c r="S40" s="23">
        <f>($O40*S$2)</f>
        <v/>
      </c>
      <c r="T40" s="23">
        <f>($O40*T$2)</f>
        <v/>
      </c>
      <c r="U40" s="23">
        <f>($O40*U$2)</f>
        <v/>
      </c>
      <c r="V40" s="23">
        <f>($O40*V$2)</f>
        <v/>
      </c>
      <c r="W40" s="23">
        <f>($O40*W$2)</f>
        <v/>
      </c>
      <c r="X40" s="23">
        <f>($O40*X$2)</f>
        <v/>
      </c>
      <c r="Y40" s="23">
        <f>($O40*Y$2)</f>
        <v/>
      </c>
      <c r="Z40" s="23">
        <f>($O40*Z$2)</f>
        <v/>
      </c>
      <c r="AA40" s="23">
        <f>($O40*AA$2)</f>
        <v/>
      </c>
      <c r="AB40" s="23">
        <f>($O40*AB$2)</f>
        <v/>
      </c>
      <c r="AC40" s="23">
        <f>($O40*AC$2)</f>
        <v/>
      </c>
      <c r="AD40" s="23">
        <f>($O40*AD$2)</f>
        <v/>
      </c>
      <c r="AE40" s="23">
        <f>($O40*AE$2)</f>
        <v/>
      </c>
      <c r="AF40" s="13">
        <f>($O40*AF$2)</f>
        <v/>
      </c>
      <c r="AG40" s="94">
        <f>(AH40/O40)</f>
        <v/>
      </c>
      <c r="AH40" s="102">
        <f>(O40*10)</f>
        <v/>
      </c>
      <c r="AI40" s="103">
        <f>(AH40*1.5)</f>
        <v/>
      </c>
      <c r="AJ40" s="104">
        <f>(AH40*2)</f>
        <v/>
      </c>
      <c r="AK40" s="119">
        <f>(AJ40+2)</f>
        <v/>
      </c>
      <c r="AL40" s="106">
        <f>(AH40*2.5)</f>
        <v/>
      </c>
      <c r="AM40" s="107">
        <f>(AH40*N40)*0.7</f>
        <v/>
      </c>
      <c r="AN40" s="55">
        <f>(1-(AO40)/(AH40*N40))</f>
        <v/>
      </c>
      <c r="AO40" s="107">
        <f>FLOOR(AM40,100)</f>
        <v/>
      </c>
      <c r="AP40" s="36" t="inlineStr">
        <is>
          <t>Blanco</t>
        </is>
      </c>
      <c r="AQ40" s="76" t="n"/>
    </row>
    <row r="41" ht="15" customHeight="1" thickBot="1">
      <c r="A41" s="75">
        <f>(A40+1)</f>
        <v/>
      </c>
      <c r="B41" s="36" t="inlineStr">
        <is>
          <t xml:space="preserve">Alma del Jaguar   </t>
        </is>
      </c>
      <c r="C41" s="36" t="n">
        <v>400447</v>
      </c>
      <c r="D41" s="122" t="n">
        <v>0</v>
      </c>
      <c r="E41" s="122" t="n">
        <v>42</v>
      </c>
      <c r="F41" s="36" t="n">
        <v>0</v>
      </c>
      <c r="G41" s="36" t="n">
        <v>0</v>
      </c>
      <c r="H41" s="36" t="n">
        <v>1</v>
      </c>
      <c r="I41" s="36" t="n">
        <v>1</v>
      </c>
      <c r="J41" s="122" t="n">
        <v>44.1</v>
      </c>
      <c r="K41" s="36" t="n">
        <v>42</v>
      </c>
      <c r="L41" s="122">
        <f>(E41+(15%*E41))</f>
        <v/>
      </c>
      <c r="M41" s="36" t="n">
        <v>750</v>
      </c>
      <c r="N41" s="123">
        <f>(M41/29.5735)</f>
        <v/>
      </c>
      <c r="O41" s="124">
        <f>(L41/N41)</f>
        <v/>
      </c>
      <c r="P41" s="23">
        <f>($O41*P$2)</f>
        <v/>
      </c>
      <c r="Q41" s="23">
        <f>($O41*Q$2)</f>
        <v/>
      </c>
      <c r="R41" s="23">
        <f>($O41*R$2)</f>
        <v/>
      </c>
      <c r="S41" s="23">
        <f>($O41*S$2)</f>
        <v/>
      </c>
      <c r="T41" s="23">
        <f>($O41*T$2)</f>
        <v/>
      </c>
      <c r="U41" s="23">
        <f>($O41*U$2)</f>
        <v/>
      </c>
      <c r="V41" s="23">
        <f>($O41*V$2)</f>
        <v/>
      </c>
      <c r="W41" s="23">
        <f>($O41*W$2)</f>
        <v/>
      </c>
      <c r="X41" s="23">
        <f>($O41*X$2)</f>
        <v/>
      </c>
      <c r="Y41" s="23">
        <f>($O41*Y$2)</f>
        <v/>
      </c>
      <c r="Z41" s="23">
        <f>($O41*Z$2)</f>
        <v/>
      </c>
      <c r="AA41" s="23">
        <f>($O41*AA$2)</f>
        <v/>
      </c>
      <c r="AB41" s="23">
        <f>($O41*AB$2)</f>
        <v/>
      </c>
      <c r="AC41" s="23">
        <f>($O41*AC$2)</f>
        <v/>
      </c>
      <c r="AD41" s="23">
        <f>($O41*AD$2)</f>
        <v/>
      </c>
      <c r="AE41" s="23">
        <f>($O41*AE$2)</f>
        <v/>
      </c>
      <c r="AF41" s="13">
        <f>($O41*AF$2)</f>
        <v/>
      </c>
      <c r="AG41" s="94">
        <f>(AH41/O41)</f>
        <v/>
      </c>
      <c r="AH41" s="102" t="n">
        <v>20</v>
      </c>
      <c r="AI41" s="103">
        <f>(AH41*1.5)</f>
        <v/>
      </c>
      <c r="AJ41" s="104">
        <f>(AH41*2)</f>
        <v/>
      </c>
      <c r="AK41" s="119">
        <f>(AJ41+2)</f>
        <v/>
      </c>
      <c r="AL41" s="106">
        <f>(AH41*2.5)</f>
        <v/>
      </c>
      <c r="AM41" s="107">
        <f>(AH41*N41)*0.7</f>
        <v/>
      </c>
      <c r="AN41" s="55">
        <f>(1-(AO41)/(AH41*N41))</f>
        <v/>
      </c>
      <c r="AO41" s="107">
        <f>FLOOR(AM41,100)</f>
        <v/>
      </c>
      <c r="AP41" s="36" t="inlineStr">
        <is>
          <t>Blanco</t>
        </is>
      </c>
      <c r="AQ41" s="76" t="n"/>
    </row>
    <row r="42" ht="15" customFormat="1" customHeight="1" s="3" thickBot="1">
      <c r="A42" s="75">
        <f>(A41+1)</f>
        <v/>
      </c>
      <c r="B42" s="36" t="inlineStr">
        <is>
          <t xml:space="preserve">Cantera Negra   </t>
        </is>
      </c>
      <c r="C42" s="36" t="n">
        <v>30333009</v>
      </c>
      <c r="D42" s="122" t="n">
        <v>0</v>
      </c>
      <c r="E42" s="122" t="n">
        <v>40.86</v>
      </c>
      <c r="F42" s="36" t="n">
        <v>0</v>
      </c>
      <c r="G42" s="36" t="n">
        <v>0</v>
      </c>
      <c r="H42" s="36" t="n">
        <v>1</v>
      </c>
      <c r="I42" s="36" t="n">
        <v>1</v>
      </c>
      <c r="J42" s="122" t="n">
        <v>43.48</v>
      </c>
      <c r="K42" s="36" t="n">
        <v>40.86</v>
      </c>
      <c r="L42" s="122">
        <f>(E42+(15%*E42))</f>
        <v/>
      </c>
      <c r="M42" s="36" t="n">
        <v>750</v>
      </c>
      <c r="N42" s="123">
        <f>(M42/29.5735)</f>
        <v/>
      </c>
      <c r="O42" s="124">
        <f>(L42/N42)</f>
        <v/>
      </c>
      <c r="P42" s="23">
        <f>($O42*P$2)</f>
        <v/>
      </c>
      <c r="Q42" s="23">
        <f>($O42*Q$2)</f>
        <v/>
      </c>
      <c r="R42" s="23">
        <f>($O42*R$2)</f>
        <v/>
      </c>
      <c r="S42" s="23">
        <f>($O42*S$2)</f>
        <v/>
      </c>
      <c r="T42" s="23">
        <f>($O42*T$2)</f>
        <v/>
      </c>
      <c r="U42" s="23">
        <f>($O42*U$2)</f>
        <v/>
      </c>
      <c r="V42" s="23">
        <f>($O42*V$2)</f>
        <v/>
      </c>
      <c r="W42" s="23">
        <f>($O42*W$2)</f>
        <v/>
      </c>
      <c r="X42" s="23">
        <f>($O42*X$2)</f>
        <v/>
      </c>
      <c r="Y42" s="23">
        <f>($O42*Y$2)</f>
        <v/>
      </c>
      <c r="Z42" s="23">
        <f>($O42*Z$2)</f>
        <v/>
      </c>
      <c r="AA42" s="23">
        <f>($O42*AA$2)</f>
        <v/>
      </c>
      <c r="AB42" s="23">
        <f>($O42*AB$2)</f>
        <v/>
      </c>
      <c r="AC42" s="23">
        <f>($O42*AC$2)</f>
        <v/>
      </c>
      <c r="AD42" s="23">
        <f>($O42*AD$2)</f>
        <v/>
      </c>
      <c r="AE42" s="23">
        <f>($O42*AE$2)</f>
        <v/>
      </c>
      <c r="AF42" s="13">
        <f>($O42*AF$2)</f>
        <v/>
      </c>
      <c r="AG42" s="94">
        <f>(AH42/O42)</f>
        <v/>
      </c>
      <c r="AH42" s="102" t="n">
        <v>20</v>
      </c>
      <c r="AI42" s="103">
        <f>(AH42*1.5)</f>
        <v/>
      </c>
      <c r="AJ42" s="104">
        <f>(AH42*2)</f>
        <v/>
      </c>
      <c r="AK42" s="119">
        <f>(AJ42+2)</f>
        <v/>
      </c>
      <c r="AL42" s="106">
        <f>(AH42*2.5)</f>
        <v/>
      </c>
      <c r="AM42" s="107">
        <f>(AH42*N42)*0.7</f>
        <v/>
      </c>
      <c r="AN42" s="55">
        <f>(1-(AO42)/(AH42*N42))</f>
        <v/>
      </c>
      <c r="AO42" s="107">
        <f>FLOOR(AM42,100)</f>
        <v/>
      </c>
      <c r="AP42" s="36" t="inlineStr">
        <is>
          <t>Blanco</t>
        </is>
      </c>
      <c r="AQ42" s="76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n"/>
      <c r="CD42" s="11" t="n"/>
      <c r="CE42" s="11" t="n"/>
      <c r="CF42" s="11" t="n"/>
      <c r="CG42" s="11" t="n"/>
      <c r="CH42" s="11" t="n"/>
      <c r="CI42" s="11" t="n"/>
    </row>
    <row r="43" ht="15" customFormat="1" customHeight="1" s="3" thickBot="1">
      <c r="A43" s="75">
        <f>(A42+1)</f>
        <v/>
      </c>
      <c r="B43" s="36" t="inlineStr">
        <is>
          <t xml:space="preserve">El Tesoro   </t>
        </is>
      </c>
      <c r="C43" s="36" t="n">
        <v>893113</v>
      </c>
      <c r="D43" s="122" t="n">
        <v>0</v>
      </c>
      <c r="E43" s="122" t="n">
        <v>40.86</v>
      </c>
      <c r="F43" s="36" t="n">
        <v>0</v>
      </c>
      <c r="G43" s="36" t="n">
        <v>0</v>
      </c>
      <c r="H43" s="36" t="n">
        <v>1</v>
      </c>
      <c r="I43" s="36" t="n">
        <v>1</v>
      </c>
      <c r="J43" s="122" t="n">
        <v>43.48</v>
      </c>
      <c r="K43" s="36" t="n">
        <v>40.86</v>
      </c>
      <c r="L43" s="122">
        <f>(E43+(15%*E43))</f>
        <v/>
      </c>
      <c r="M43" s="36" t="n">
        <v>750</v>
      </c>
      <c r="N43" s="123">
        <f>(M43/29.5735)</f>
        <v/>
      </c>
      <c r="O43" s="124">
        <f>(L43/N43)</f>
        <v/>
      </c>
      <c r="P43" s="23">
        <f>($O43*P$2)</f>
        <v/>
      </c>
      <c r="Q43" s="23">
        <f>($O43*Q$2)</f>
        <v/>
      </c>
      <c r="R43" s="23">
        <f>($O43*R$2)</f>
        <v/>
      </c>
      <c r="S43" s="23">
        <f>($O43*S$2)</f>
        <v/>
      </c>
      <c r="T43" s="23">
        <f>($O43*T$2)</f>
        <v/>
      </c>
      <c r="U43" s="23">
        <f>($O43*U$2)</f>
        <v/>
      </c>
      <c r="V43" s="23">
        <f>($O43*V$2)</f>
        <v/>
      </c>
      <c r="W43" s="23">
        <f>($O43*W$2)</f>
        <v/>
      </c>
      <c r="X43" s="23">
        <f>($O43*X$2)</f>
        <v/>
      </c>
      <c r="Y43" s="23">
        <f>($O43*Y$2)</f>
        <v/>
      </c>
      <c r="Z43" s="23">
        <f>($O43*Z$2)</f>
        <v/>
      </c>
      <c r="AA43" s="23">
        <f>($O43*AA$2)</f>
        <v/>
      </c>
      <c r="AB43" s="23">
        <f>($O43*AB$2)</f>
        <v/>
      </c>
      <c r="AC43" s="23">
        <f>($O43*AC$2)</f>
        <v/>
      </c>
      <c r="AD43" s="23">
        <f>($O43*AD$2)</f>
        <v/>
      </c>
      <c r="AE43" s="23">
        <f>($O43*AE$2)</f>
        <v/>
      </c>
      <c r="AF43" s="13">
        <f>($O43*AF$2)</f>
        <v/>
      </c>
      <c r="AG43" s="94">
        <f>(AH43/O43)</f>
        <v/>
      </c>
      <c r="AH43" s="102" t="n">
        <v>20</v>
      </c>
      <c r="AI43" s="103">
        <f>(AH43*1.5)</f>
        <v/>
      </c>
      <c r="AJ43" s="104">
        <f>(AH43*2)</f>
        <v/>
      </c>
      <c r="AK43" s="119">
        <f>(AJ43+2)</f>
        <v/>
      </c>
      <c r="AL43" s="106">
        <f>(AH43*2.5)</f>
        <v/>
      </c>
      <c r="AM43" s="107">
        <f>(AH43*N43)*0.7</f>
        <v/>
      </c>
      <c r="AN43" s="55">
        <f>(1-(AO43)/(AH43*N43))</f>
        <v/>
      </c>
      <c r="AO43" s="107">
        <f>FLOOR(AM43,100)</f>
        <v/>
      </c>
      <c r="AP43" s="36" t="inlineStr">
        <is>
          <t>Blanco</t>
        </is>
      </c>
      <c r="AQ43" s="76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n"/>
      <c r="CD43" s="11" t="n"/>
      <c r="CE43" s="11" t="n"/>
      <c r="CF43" s="11" t="n"/>
      <c r="CG43" s="11" t="n"/>
      <c r="CH43" s="11" t="n"/>
      <c r="CI43" s="11" t="n"/>
    </row>
    <row r="44" ht="15" customFormat="1" customHeight="1" s="3" thickBot="1">
      <c r="A44" s="75">
        <f>(A43+1)</f>
        <v/>
      </c>
      <c r="B44" s="36" t="inlineStr">
        <is>
          <t xml:space="preserve">Kah   </t>
        </is>
      </c>
      <c r="C44" s="36" t="n">
        <v>28680009</v>
      </c>
      <c r="D44" s="122" t="n">
        <v>0</v>
      </c>
      <c r="E44" s="122" t="n">
        <v>43.48</v>
      </c>
      <c r="F44" s="36" t="n">
        <v>0</v>
      </c>
      <c r="G44" s="36" t="n">
        <v>0</v>
      </c>
      <c r="H44" s="36" t="n">
        <v>1</v>
      </c>
      <c r="I44" s="36" t="n">
        <v>1</v>
      </c>
      <c r="J44" s="122" t="n">
        <v>43.48</v>
      </c>
      <c r="K44" s="36" t="n">
        <v>43.48</v>
      </c>
      <c r="L44" s="122">
        <f>(E44+(15%*E44))</f>
        <v/>
      </c>
      <c r="M44" s="36" t="n">
        <v>750</v>
      </c>
      <c r="N44" s="123">
        <f>(M44/29.5735)</f>
        <v/>
      </c>
      <c r="O44" s="124">
        <f>(L44/N44)</f>
        <v/>
      </c>
      <c r="P44" s="23">
        <f>($O44*P$2)</f>
        <v/>
      </c>
      <c r="Q44" s="23">
        <f>($O44*Q$2)</f>
        <v/>
      </c>
      <c r="R44" s="23">
        <f>($O44*R$2)</f>
        <v/>
      </c>
      <c r="S44" s="23">
        <f>($O44*S$2)</f>
        <v/>
      </c>
      <c r="T44" s="23">
        <f>($O44*T$2)</f>
        <v/>
      </c>
      <c r="U44" s="23">
        <f>($O44*U$2)</f>
        <v/>
      </c>
      <c r="V44" s="23">
        <f>($O44*V$2)</f>
        <v/>
      </c>
      <c r="W44" s="23">
        <f>($O44*W$2)</f>
        <v/>
      </c>
      <c r="X44" s="23">
        <f>($O44*X$2)</f>
        <v/>
      </c>
      <c r="Y44" s="23">
        <f>($O44*Y$2)</f>
        <v/>
      </c>
      <c r="Z44" s="23">
        <f>($O44*Z$2)</f>
        <v/>
      </c>
      <c r="AA44" s="23">
        <f>($O44*AA$2)</f>
        <v/>
      </c>
      <c r="AB44" s="23">
        <f>($O44*AB$2)</f>
        <v/>
      </c>
      <c r="AC44" s="23">
        <f>($O44*AC$2)</f>
        <v/>
      </c>
      <c r="AD44" s="23">
        <f>($O44*AD$2)</f>
        <v/>
      </c>
      <c r="AE44" s="23">
        <f>($O44*AE$2)</f>
        <v/>
      </c>
      <c r="AF44" s="13">
        <f>($O44*AF$2)</f>
        <v/>
      </c>
      <c r="AG44" s="94">
        <f>(AH44/O44)</f>
        <v/>
      </c>
      <c r="AH44" s="102">
        <f>(O44*10)</f>
        <v/>
      </c>
      <c r="AI44" s="103">
        <f>(AH44*1.5)</f>
        <v/>
      </c>
      <c r="AJ44" s="104">
        <f>(AH44*2)</f>
        <v/>
      </c>
      <c r="AK44" s="119">
        <f>(AJ44+2)</f>
        <v/>
      </c>
      <c r="AL44" s="106">
        <f>(AH44*2.5)</f>
        <v/>
      </c>
      <c r="AM44" s="107">
        <f>(AH44*N44)*0.7</f>
        <v/>
      </c>
      <c r="AN44" s="55">
        <f>(1-(AO44)/(AH44*N44))</f>
        <v/>
      </c>
      <c r="AO44" s="107">
        <f>FLOOR(AM44,100)</f>
        <v/>
      </c>
      <c r="AP44" s="36" t="inlineStr">
        <is>
          <t>Blanco</t>
        </is>
      </c>
      <c r="AQ44" s="76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n"/>
      <c r="CD44" s="11" t="n"/>
      <c r="CE44" s="11" t="n"/>
      <c r="CF44" s="11" t="n"/>
      <c r="CG44" s="11" t="n"/>
      <c r="CH44" s="11" t="n"/>
      <c r="CI44" s="11" t="n"/>
    </row>
    <row r="45" ht="15" customHeight="1" thickBot="1">
      <c r="A45" s="75">
        <f>(A44+1)</f>
        <v/>
      </c>
      <c r="B45" s="36" t="inlineStr">
        <is>
          <t xml:space="preserve">Nueveuno Organic   </t>
        </is>
      </c>
      <c r="C45" s="36" t="n">
        <v>30328009</v>
      </c>
      <c r="D45" s="122" t="n">
        <v>0</v>
      </c>
      <c r="E45" s="122" t="n">
        <v>40.86</v>
      </c>
      <c r="F45" s="36" t="n">
        <v>0</v>
      </c>
      <c r="G45" s="36" t="n">
        <v>0</v>
      </c>
      <c r="H45" s="36" t="n">
        <v>1</v>
      </c>
      <c r="I45" s="36" t="n">
        <v>1</v>
      </c>
      <c r="J45" s="122" t="n">
        <v>43.48</v>
      </c>
      <c r="K45" s="36" t="n">
        <v>40.86</v>
      </c>
      <c r="L45" s="122">
        <f>(E45+(15%*E45))</f>
        <v/>
      </c>
      <c r="M45" s="36" t="n">
        <v>750</v>
      </c>
      <c r="N45" s="123">
        <f>(M45/29.5735)</f>
        <v/>
      </c>
      <c r="O45" s="124">
        <f>(L45/N45)</f>
        <v/>
      </c>
      <c r="P45" s="23">
        <f>($O45*P$2)</f>
        <v/>
      </c>
      <c r="Q45" s="23">
        <f>($O45*Q$2)</f>
        <v/>
      </c>
      <c r="R45" s="23">
        <f>($O45*R$2)</f>
        <v/>
      </c>
      <c r="S45" s="23">
        <f>($O45*S$2)</f>
        <v/>
      </c>
      <c r="T45" s="23">
        <f>($O45*T$2)</f>
        <v/>
      </c>
      <c r="U45" s="23">
        <f>($O45*U$2)</f>
        <v/>
      </c>
      <c r="V45" s="23">
        <f>($O45*V$2)</f>
        <v/>
      </c>
      <c r="W45" s="23">
        <f>($O45*W$2)</f>
        <v/>
      </c>
      <c r="X45" s="23">
        <f>($O45*X$2)</f>
        <v/>
      </c>
      <c r="Y45" s="23">
        <f>($O45*Y$2)</f>
        <v/>
      </c>
      <c r="Z45" s="23">
        <f>($O45*Z$2)</f>
        <v/>
      </c>
      <c r="AA45" s="23">
        <f>($O45*AA$2)</f>
        <v/>
      </c>
      <c r="AB45" s="23">
        <f>($O45*AB$2)</f>
        <v/>
      </c>
      <c r="AC45" s="23">
        <f>($O45*AC$2)</f>
        <v/>
      </c>
      <c r="AD45" s="23">
        <f>($O45*AD$2)</f>
        <v/>
      </c>
      <c r="AE45" s="23">
        <f>($O45*AE$2)</f>
        <v/>
      </c>
      <c r="AF45" s="13">
        <f>($O45*AF$2)</f>
        <v/>
      </c>
      <c r="AG45" s="94">
        <f>(AH45/O45)</f>
        <v/>
      </c>
      <c r="AH45" s="102" t="n">
        <v>20</v>
      </c>
      <c r="AI45" s="103">
        <f>(AH45*1.5)</f>
        <v/>
      </c>
      <c r="AJ45" s="104">
        <f>(AH45*2)</f>
        <v/>
      </c>
      <c r="AK45" s="119">
        <f>(AJ45+2)</f>
        <v/>
      </c>
      <c r="AL45" s="106">
        <f>(AH45*2.5)</f>
        <v/>
      </c>
      <c r="AM45" s="107">
        <f>(AH45*N45)*0.7</f>
        <v/>
      </c>
      <c r="AN45" s="55">
        <f>(1-(AO45)/(AH45*N45))</f>
        <v/>
      </c>
      <c r="AO45" s="107">
        <f>FLOOR(AM45,100)</f>
        <v/>
      </c>
      <c r="AP45" s="36" t="inlineStr">
        <is>
          <t>Blanco</t>
        </is>
      </c>
      <c r="AQ45" s="76" t="n"/>
    </row>
    <row r="46" ht="15" customHeight="1" thickBot="1">
      <c r="A46" s="75">
        <f>(A45+1)</f>
        <v/>
      </c>
      <c r="B46" s="36" t="inlineStr">
        <is>
          <t xml:space="preserve">Codigo 1530   </t>
        </is>
      </c>
      <c r="C46" s="36" t="n">
        <v>443119</v>
      </c>
      <c r="D46" s="122" t="n">
        <v>0</v>
      </c>
      <c r="E46" s="122" t="n">
        <v>41.02</v>
      </c>
      <c r="F46" s="36" t="n">
        <v>0</v>
      </c>
      <c r="G46" s="36" t="n">
        <v>0</v>
      </c>
      <c r="H46" s="36" t="n">
        <v>1</v>
      </c>
      <c r="I46" s="36" t="n">
        <v>1</v>
      </c>
      <c r="J46" s="122" t="n">
        <v>41.02</v>
      </c>
      <c r="K46" s="36" t="n">
        <v>38.4</v>
      </c>
      <c r="L46" s="122">
        <f>(E46+(15%*E46))</f>
        <v/>
      </c>
      <c r="M46" s="36" t="n">
        <v>750</v>
      </c>
      <c r="N46" s="123">
        <f>(M46/29.5735)</f>
        <v/>
      </c>
      <c r="O46" s="124">
        <f>(L46/N46)</f>
        <v/>
      </c>
      <c r="P46" s="23">
        <f>($O46*P$2)</f>
        <v/>
      </c>
      <c r="Q46" s="23">
        <f>($O46*Q$2)</f>
        <v/>
      </c>
      <c r="R46" s="23">
        <f>($O46*R$2)</f>
        <v/>
      </c>
      <c r="S46" s="23">
        <f>($O46*S$2)</f>
        <v/>
      </c>
      <c r="T46" s="23">
        <f>($O46*T$2)</f>
        <v/>
      </c>
      <c r="U46" s="23">
        <f>($O46*U$2)</f>
        <v/>
      </c>
      <c r="V46" s="23">
        <f>($O46*V$2)</f>
        <v/>
      </c>
      <c r="W46" s="23">
        <f>($O46*W$2)</f>
        <v/>
      </c>
      <c r="X46" s="23">
        <f>($O46*X$2)</f>
        <v/>
      </c>
      <c r="Y46" s="23">
        <f>($O46*Y$2)</f>
        <v/>
      </c>
      <c r="Z46" s="23">
        <f>($O46*Z$2)</f>
        <v/>
      </c>
      <c r="AA46" s="23">
        <f>($O46*AA$2)</f>
        <v/>
      </c>
      <c r="AB46" s="23">
        <f>($O46*AB$2)</f>
        <v/>
      </c>
      <c r="AC46" s="23">
        <f>($O46*AC$2)</f>
        <v/>
      </c>
      <c r="AD46" s="23">
        <f>($O46*AD$2)</f>
        <v/>
      </c>
      <c r="AE46" s="23">
        <f>($O46*AE$2)</f>
        <v/>
      </c>
      <c r="AF46" s="13">
        <f>($O46*AF$2)</f>
        <v/>
      </c>
      <c r="AG46" s="94">
        <f>(AH46/O46)</f>
        <v/>
      </c>
      <c r="AH46" s="102" t="n">
        <v>18</v>
      </c>
      <c r="AI46" s="103">
        <f>(AH46*1.5)</f>
        <v/>
      </c>
      <c r="AJ46" s="104">
        <f>(AH46*2)</f>
        <v/>
      </c>
      <c r="AK46" s="119">
        <f>(AJ46+2)</f>
        <v/>
      </c>
      <c r="AL46" s="106">
        <f>(AH46*2.5)</f>
        <v/>
      </c>
      <c r="AM46" s="107">
        <f>(AH46*N46)*0.7</f>
        <v/>
      </c>
      <c r="AN46" s="55">
        <f>(1-(AO46)/(AH46*N46))</f>
        <v/>
      </c>
      <c r="AO46" s="107">
        <f>FLOOR(AM46,100)</f>
        <v/>
      </c>
      <c r="AP46" s="36" t="inlineStr">
        <is>
          <t>Blanco</t>
        </is>
      </c>
      <c r="AQ46" s="76" t="n"/>
    </row>
    <row r="47" ht="15" customHeight="1" thickBot="1">
      <c r="A47" s="75">
        <f>(A46+1)</f>
        <v/>
      </c>
      <c r="B47" s="36" t="inlineStr">
        <is>
          <t xml:space="preserve">Don Julio </t>
        </is>
      </c>
      <c r="C47" s="36" t="n">
        <v>567009</v>
      </c>
      <c r="D47" s="122" t="n">
        <v>40.86</v>
      </c>
      <c r="E47" s="122" t="n">
        <v>40.86</v>
      </c>
      <c r="F47" s="36" t="n">
        <v>1</v>
      </c>
      <c r="G47" s="36" t="n">
        <v>0</v>
      </c>
      <c r="H47" s="36" t="n">
        <v>0</v>
      </c>
      <c r="I47" s="36" t="n">
        <v>6</v>
      </c>
      <c r="J47" s="122" t="n">
        <v>245.13</v>
      </c>
      <c r="K47" s="36" t="n">
        <v>245.13</v>
      </c>
      <c r="L47" s="122">
        <f>(E47+(15%*E47))</f>
        <v/>
      </c>
      <c r="M47" s="36" t="n">
        <v>750</v>
      </c>
      <c r="N47" s="123">
        <f>(M47/29.5735)</f>
        <v/>
      </c>
      <c r="O47" s="124">
        <f>(L47/N47)</f>
        <v/>
      </c>
      <c r="P47" s="23">
        <f>($O47*P$2)</f>
        <v/>
      </c>
      <c r="Q47" s="23">
        <f>($O47*Q$2)</f>
        <v/>
      </c>
      <c r="R47" s="23">
        <f>($O47*R$2)</f>
        <v/>
      </c>
      <c r="S47" s="23">
        <f>($O47*S$2)</f>
        <v/>
      </c>
      <c r="T47" s="23">
        <f>($O47*T$2)</f>
        <v/>
      </c>
      <c r="U47" s="23">
        <f>($O47*U$2)</f>
        <v/>
      </c>
      <c r="V47" s="23">
        <f>($O47*V$2)</f>
        <v/>
      </c>
      <c r="W47" s="23">
        <f>($O47*W$2)</f>
        <v/>
      </c>
      <c r="X47" s="23">
        <f>($O47*X$2)</f>
        <v/>
      </c>
      <c r="Y47" s="23">
        <f>($O47*Y$2)</f>
        <v/>
      </c>
      <c r="Z47" s="23">
        <f>($O47*Z$2)</f>
        <v/>
      </c>
      <c r="AA47" s="23">
        <f>($O47*AA$2)</f>
        <v/>
      </c>
      <c r="AB47" s="23">
        <f>($O47*AB$2)</f>
        <v/>
      </c>
      <c r="AC47" s="23">
        <f>($O47*AC$2)</f>
        <v/>
      </c>
      <c r="AD47" s="23">
        <f>($O47*AD$2)</f>
        <v/>
      </c>
      <c r="AE47" s="23">
        <f>($O47*AE$2)</f>
        <v/>
      </c>
      <c r="AF47" s="13">
        <f>($O47*AF$2)</f>
        <v/>
      </c>
      <c r="AG47" s="94">
        <f>(AH47/O47)</f>
        <v/>
      </c>
      <c r="AH47" s="102" t="n">
        <v>17</v>
      </c>
      <c r="AI47" s="103">
        <f>(AH47*1.5)</f>
        <v/>
      </c>
      <c r="AJ47" s="104">
        <f>(AH47*2)</f>
        <v/>
      </c>
      <c r="AK47" s="119">
        <f>(AJ47+2)</f>
        <v/>
      </c>
      <c r="AL47" s="106">
        <f>(AH47*2.5)</f>
        <v/>
      </c>
      <c r="AM47" s="107">
        <f>(AH47*N47)*0.7</f>
        <v/>
      </c>
      <c r="AN47" s="55">
        <f>(1-(AO47)/(AH47*N47))</f>
        <v/>
      </c>
      <c r="AO47" s="107">
        <f>FLOOR(AM47,100)</f>
        <v/>
      </c>
      <c r="AP47" s="36" t="inlineStr">
        <is>
          <t>Blanco</t>
        </is>
      </c>
      <c r="AQ47" s="76" t="n"/>
    </row>
    <row r="48" ht="15" customFormat="1" customHeight="1" s="3" thickBot="1">
      <c r="A48" s="75">
        <f>(A47+1)</f>
        <v/>
      </c>
      <c r="B48" s="36" t="inlineStr">
        <is>
          <t xml:space="preserve">Cenote   </t>
        </is>
      </c>
      <c r="C48" s="36" t="n">
        <v>23339009</v>
      </c>
      <c r="D48" s="122" t="n">
        <v>0</v>
      </c>
      <c r="E48" s="122" t="n">
        <v>36.95</v>
      </c>
      <c r="F48" s="36" t="n">
        <v>0</v>
      </c>
      <c r="G48" s="36" t="n">
        <v>0</v>
      </c>
      <c r="H48" s="36" t="n">
        <v>1</v>
      </c>
      <c r="I48" s="36" t="n">
        <v>1</v>
      </c>
      <c r="J48" s="122" t="n">
        <v>36.95</v>
      </c>
      <c r="K48" s="36" t="n">
        <v>34.31</v>
      </c>
      <c r="L48" s="122">
        <f>(E48+(15%*E48))</f>
        <v/>
      </c>
      <c r="M48" s="36" t="n">
        <v>750</v>
      </c>
      <c r="N48" s="123">
        <f>(M48/29.5735)</f>
        <v/>
      </c>
      <c r="O48" s="124">
        <f>(L48/N48)</f>
        <v/>
      </c>
      <c r="P48" s="23">
        <f>($O48*P$2)</f>
        <v/>
      </c>
      <c r="Q48" s="23">
        <f>($O48*Q$2)</f>
        <v/>
      </c>
      <c r="R48" s="23">
        <f>($O48*R$2)</f>
        <v/>
      </c>
      <c r="S48" s="23">
        <f>($O48*S$2)</f>
        <v/>
      </c>
      <c r="T48" s="23">
        <f>($O48*T$2)</f>
        <v/>
      </c>
      <c r="U48" s="23">
        <f>($O48*U$2)</f>
        <v/>
      </c>
      <c r="V48" s="23">
        <f>($O48*V$2)</f>
        <v/>
      </c>
      <c r="W48" s="23">
        <f>($O48*W$2)</f>
        <v/>
      </c>
      <c r="X48" s="23">
        <f>($O48*X$2)</f>
        <v/>
      </c>
      <c r="Y48" s="23">
        <f>($O48*Y$2)</f>
        <v/>
      </c>
      <c r="Z48" s="23">
        <f>($O48*Z$2)</f>
        <v/>
      </c>
      <c r="AA48" s="23">
        <f>($O48*AA$2)</f>
        <v/>
      </c>
      <c r="AB48" s="23">
        <f>($O48*AB$2)</f>
        <v/>
      </c>
      <c r="AC48" s="23">
        <f>($O48*AC$2)</f>
        <v/>
      </c>
      <c r="AD48" s="23">
        <f>($O48*AD$2)</f>
        <v/>
      </c>
      <c r="AE48" s="23">
        <f>($O48*AE$2)</f>
        <v/>
      </c>
      <c r="AF48" s="13">
        <f>($O48*AF$2)</f>
        <v/>
      </c>
      <c r="AG48" s="94">
        <f>(AH48/O48)</f>
        <v/>
      </c>
      <c r="AH48" s="102" t="n">
        <v>16</v>
      </c>
      <c r="AI48" s="103">
        <f>(AH48*1.5)</f>
        <v/>
      </c>
      <c r="AJ48" s="104">
        <f>(AH48*2)</f>
        <v/>
      </c>
      <c r="AK48" s="119">
        <f>(AJ48+2)</f>
        <v/>
      </c>
      <c r="AL48" s="106">
        <f>(AH48*2.5)</f>
        <v/>
      </c>
      <c r="AM48" s="107">
        <f>(AH48*N48)*0.7</f>
        <v/>
      </c>
      <c r="AN48" s="55">
        <f>(1-(AO48)/(AH48*N48))</f>
        <v/>
      </c>
      <c r="AO48" s="107">
        <f>FLOOR(AM48,100)</f>
        <v/>
      </c>
      <c r="AP48" s="36" t="inlineStr">
        <is>
          <t>Blanco</t>
        </is>
      </c>
      <c r="AQ48" s="76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</row>
    <row r="49" ht="15" customHeight="1" thickBot="1">
      <c r="A49" s="75">
        <f>(A48+1)</f>
        <v/>
      </c>
      <c r="B49" s="36" t="inlineStr">
        <is>
          <t xml:space="preserve">Excellia   </t>
        </is>
      </c>
      <c r="C49" s="36" t="n">
        <v>114008</v>
      </c>
      <c r="D49" s="122" t="n">
        <v>0</v>
      </c>
      <c r="E49" s="122" t="n">
        <v>36.75</v>
      </c>
      <c r="F49" s="36" t="n">
        <v>0</v>
      </c>
      <c r="G49" s="36" t="n">
        <v>0</v>
      </c>
      <c r="H49" s="36" t="n">
        <v>1</v>
      </c>
      <c r="I49" s="36" t="n">
        <v>1</v>
      </c>
      <c r="J49" s="122" t="n">
        <v>36.75</v>
      </c>
      <c r="K49" s="36" t="n">
        <v>36.75</v>
      </c>
      <c r="L49" s="122">
        <f>(E49+(15%*E49))</f>
        <v/>
      </c>
      <c r="M49" s="36" t="n">
        <v>750</v>
      </c>
      <c r="N49" s="123">
        <f>(M49/29.5735)</f>
        <v/>
      </c>
      <c r="O49" s="124">
        <f>(L49/N49)</f>
        <v/>
      </c>
      <c r="P49" s="23">
        <f>($O49*P$2)</f>
        <v/>
      </c>
      <c r="Q49" s="23">
        <f>($O49*Q$2)</f>
        <v/>
      </c>
      <c r="R49" s="23">
        <f>($O49*R$2)</f>
        <v/>
      </c>
      <c r="S49" s="23">
        <f>($O49*S$2)</f>
        <v/>
      </c>
      <c r="T49" s="23">
        <f>($O49*T$2)</f>
        <v/>
      </c>
      <c r="U49" s="23">
        <f>($O49*U$2)</f>
        <v/>
      </c>
      <c r="V49" s="23">
        <f>($O49*V$2)</f>
        <v/>
      </c>
      <c r="W49" s="23">
        <f>($O49*W$2)</f>
        <v/>
      </c>
      <c r="X49" s="23">
        <f>($O49*X$2)</f>
        <v/>
      </c>
      <c r="Y49" s="23">
        <f>($O49*Y$2)</f>
        <v/>
      </c>
      <c r="Z49" s="23">
        <f>($O49*Z$2)</f>
        <v/>
      </c>
      <c r="AA49" s="23">
        <f>($O49*AA$2)</f>
        <v/>
      </c>
      <c r="AB49" s="23">
        <f>($O49*AB$2)</f>
        <v/>
      </c>
      <c r="AC49" s="23">
        <f>($O49*AC$2)</f>
        <v/>
      </c>
      <c r="AD49" s="23">
        <f>($O49*AD$2)</f>
        <v/>
      </c>
      <c r="AE49" s="23">
        <f>($O49*AE$2)</f>
        <v/>
      </c>
      <c r="AF49" s="13">
        <f>($O49*AF$2)</f>
        <v/>
      </c>
      <c r="AG49" s="94">
        <f>(AH49/O49)</f>
        <v/>
      </c>
      <c r="AH49" s="102" t="n">
        <v>15</v>
      </c>
      <c r="AI49" s="103">
        <f>(AH49*1.5)</f>
        <v/>
      </c>
      <c r="AJ49" s="104">
        <f>(AH49*2)</f>
        <v/>
      </c>
      <c r="AK49" s="119">
        <f>(AJ49+2)</f>
        <v/>
      </c>
      <c r="AL49" s="106">
        <f>(AH49*2.5)</f>
        <v/>
      </c>
      <c r="AM49" s="107">
        <f>(AH49*N49)*0.7</f>
        <v/>
      </c>
      <c r="AN49" s="55">
        <f>(1-(AO49)/(AH49*N49))</f>
        <v/>
      </c>
      <c r="AO49" s="107">
        <f>FLOOR(AM49,100)</f>
        <v/>
      </c>
      <c r="AP49" s="36" t="inlineStr">
        <is>
          <t>Blanco</t>
        </is>
      </c>
      <c r="AQ49" s="76" t="n"/>
    </row>
    <row r="50" ht="15" customHeight="1" thickBot="1">
      <c r="A50" s="75">
        <f>(A49+1)</f>
        <v/>
      </c>
      <c r="B50" s="36" t="inlineStr">
        <is>
          <t xml:space="preserve"> Partida  </t>
        </is>
      </c>
      <c r="C50" s="36" t="n">
        <v>20427009</v>
      </c>
      <c r="D50" s="122" t="n">
        <v>0</v>
      </c>
      <c r="E50" s="122" t="n">
        <v>32.68</v>
      </c>
      <c r="F50" s="36" t="n">
        <v>0</v>
      </c>
      <c r="G50" s="36" t="n">
        <v>0</v>
      </c>
      <c r="H50" s="36" t="n">
        <v>1</v>
      </c>
      <c r="I50" s="36" t="n">
        <v>1</v>
      </c>
      <c r="J50" s="122" t="n">
        <v>35.3</v>
      </c>
      <c r="K50" s="36" t="n">
        <v>32.68</v>
      </c>
      <c r="L50" s="122">
        <f>(E50+(15%*E50))</f>
        <v/>
      </c>
      <c r="M50" s="36" t="n">
        <v>750</v>
      </c>
      <c r="N50" s="123">
        <f>(M50/29.5735)</f>
        <v/>
      </c>
      <c r="O50" s="124">
        <f>(L50/N50)</f>
        <v/>
      </c>
      <c r="P50" s="23">
        <f>($O50*P$2)</f>
        <v/>
      </c>
      <c r="Q50" s="23">
        <f>($O50*Q$2)</f>
        <v/>
      </c>
      <c r="R50" s="23">
        <f>($O50*R$2)</f>
        <v/>
      </c>
      <c r="S50" s="23">
        <f>($O50*S$2)</f>
        <v/>
      </c>
      <c r="T50" s="23">
        <f>($O50*T$2)</f>
        <v/>
      </c>
      <c r="U50" s="23">
        <f>($O50*U$2)</f>
        <v/>
      </c>
      <c r="V50" s="23">
        <f>($O50*V$2)</f>
        <v/>
      </c>
      <c r="W50" s="23">
        <f>($O50*W$2)</f>
        <v/>
      </c>
      <c r="X50" s="23">
        <f>($O50*X$2)</f>
        <v/>
      </c>
      <c r="Y50" s="23">
        <f>($O50*Y$2)</f>
        <v/>
      </c>
      <c r="Z50" s="23">
        <f>($O50*Z$2)</f>
        <v/>
      </c>
      <c r="AA50" s="23">
        <f>($O50*AA$2)</f>
        <v/>
      </c>
      <c r="AB50" s="23">
        <f>($O50*AB$2)</f>
        <v/>
      </c>
      <c r="AC50" s="23">
        <f>($O50*AC$2)</f>
        <v/>
      </c>
      <c r="AD50" s="23">
        <f>($O50*AD$2)</f>
        <v/>
      </c>
      <c r="AE50" s="23">
        <f>($O50*AE$2)</f>
        <v/>
      </c>
      <c r="AF50" s="13">
        <f>($O50*AF$2)</f>
        <v/>
      </c>
      <c r="AG50" s="94">
        <f>(AH50/O50)</f>
        <v/>
      </c>
      <c r="AH50" s="102">
        <f>(O50*10)</f>
        <v/>
      </c>
      <c r="AI50" s="103">
        <f>(AH50*1.5)</f>
        <v/>
      </c>
      <c r="AJ50" s="104">
        <f>(AH50*2)</f>
        <v/>
      </c>
      <c r="AK50" s="119">
        <f>(AJ50+2)</f>
        <v/>
      </c>
      <c r="AL50" s="106">
        <f>(AH50*2.5)</f>
        <v/>
      </c>
      <c r="AM50" s="107">
        <f>(AH50*N50)*0.7</f>
        <v/>
      </c>
      <c r="AN50" s="55">
        <f>(1-(AO50)/(AH50*N50))</f>
        <v/>
      </c>
      <c r="AO50" s="107">
        <f>FLOOR(AM50,100)</f>
        <v/>
      </c>
      <c r="AP50" s="36" t="inlineStr">
        <is>
          <t>Blanco</t>
        </is>
      </c>
      <c r="AQ50" s="76" t="n"/>
    </row>
    <row r="51" ht="15" customHeight="1" thickBot="1">
      <c r="A51" s="75">
        <f>(A50+1)</f>
        <v/>
      </c>
      <c r="B51" s="36" t="inlineStr">
        <is>
          <t xml:space="preserve">Una Vida    </t>
        </is>
      </c>
      <c r="C51" s="36" t="n">
        <v>140234</v>
      </c>
      <c r="D51" s="122" t="n">
        <v>0</v>
      </c>
      <c r="E51" s="122" t="n">
        <v>32.69</v>
      </c>
      <c r="F51" s="36" t="n">
        <v>0</v>
      </c>
      <c r="G51" s="36" t="n">
        <v>0</v>
      </c>
      <c r="H51" s="36" t="n">
        <v>1</v>
      </c>
      <c r="I51" s="36" t="n">
        <v>1</v>
      </c>
      <c r="J51" s="122" t="n">
        <v>34.79</v>
      </c>
      <c r="K51" s="36" t="n">
        <v>32.69</v>
      </c>
      <c r="L51" s="122">
        <f>(E51+(15%*E51))</f>
        <v/>
      </c>
      <c r="M51" s="36" t="n">
        <v>750</v>
      </c>
      <c r="N51" s="123">
        <f>(M51/29.5735)</f>
        <v/>
      </c>
      <c r="O51" s="124">
        <f>(L51/N51)</f>
        <v/>
      </c>
      <c r="P51" s="23">
        <f>($O51*P$2)</f>
        <v/>
      </c>
      <c r="Q51" s="23">
        <f>($O51*Q$2)</f>
        <v/>
      </c>
      <c r="R51" s="23">
        <f>($O51*R$2)</f>
        <v/>
      </c>
      <c r="S51" s="23">
        <f>($O51*S$2)</f>
        <v/>
      </c>
      <c r="T51" s="23">
        <f>($O51*T$2)</f>
        <v/>
      </c>
      <c r="U51" s="23">
        <f>($O51*U$2)</f>
        <v/>
      </c>
      <c r="V51" s="23">
        <f>($O51*V$2)</f>
        <v/>
      </c>
      <c r="W51" s="23">
        <f>($O51*W$2)</f>
        <v/>
      </c>
      <c r="X51" s="23">
        <f>($O51*X$2)</f>
        <v/>
      </c>
      <c r="Y51" s="23">
        <f>($O51*Y$2)</f>
        <v/>
      </c>
      <c r="Z51" s="23">
        <f>($O51*Z$2)</f>
        <v/>
      </c>
      <c r="AA51" s="23">
        <f>($O51*AA$2)</f>
        <v/>
      </c>
      <c r="AB51" s="23">
        <f>($O51*AB$2)</f>
        <v/>
      </c>
      <c r="AC51" s="23">
        <f>($O51*AC$2)</f>
        <v/>
      </c>
      <c r="AD51" s="23">
        <f>($O51*AD$2)</f>
        <v/>
      </c>
      <c r="AE51" s="23">
        <f>($O51*AE$2)</f>
        <v/>
      </c>
      <c r="AF51" s="13">
        <f>($O51*AF$2)</f>
        <v/>
      </c>
      <c r="AG51" s="94">
        <f>(AH51/O51)</f>
        <v/>
      </c>
      <c r="AH51" s="102">
        <f>(O51*10)</f>
        <v/>
      </c>
      <c r="AI51" s="103">
        <f>(AH51*1.5)</f>
        <v/>
      </c>
      <c r="AJ51" s="104">
        <f>(AH51*2)</f>
        <v/>
      </c>
      <c r="AK51" s="119">
        <f>(AJ51+2)</f>
        <v/>
      </c>
      <c r="AL51" s="106">
        <f>(AH51*2.5)</f>
        <v/>
      </c>
      <c r="AM51" s="107">
        <f>(AH51*N51)*0.7</f>
        <v/>
      </c>
      <c r="AN51" s="55">
        <f>(1-(AO51)/(AH51*N51))</f>
        <v/>
      </c>
      <c r="AO51" s="107">
        <f>FLOOR(AM51,100)</f>
        <v/>
      </c>
      <c r="AP51" s="36" t="inlineStr">
        <is>
          <t>Blanco</t>
        </is>
      </c>
      <c r="AQ51" s="76" t="n"/>
    </row>
    <row r="52" ht="15" customHeight="1" thickBot="1">
      <c r="A52" s="75">
        <f>(A51+1)</f>
        <v/>
      </c>
      <c r="B52" s="36" t="inlineStr">
        <is>
          <t xml:space="preserve">Tres Agave   </t>
        </is>
      </c>
      <c r="C52" s="36" t="n">
        <v>14496009</v>
      </c>
      <c r="D52" s="122" t="n">
        <v>0</v>
      </c>
      <c r="E52" s="122" t="n">
        <v>31.23</v>
      </c>
      <c r="F52" s="36" t="n">
        <v>0</v>
      </c>
      <c r="G52" s="36" t="n">
        <v>0</v>
      </c>
      <c r="H52" s="36" t="n">
        <v>1</v>
      </c>
      <c r="I52" s="36" t="n">
        <v>1</v>
      </c>
      <c r="J52" s="122" t="n">
        <v>31.23</v>
      </c>
      <c r="K52" s="36" t="n">
        <v>28.6</v>
      </c>
      <c r="L52" s="122">
        <f>(E52+(15%*E52))</f>
        <v/>
      </c>
      <c r="M52" s="36" t="n">
        <v>750</v>
      </c>
      <c r="N52" s="123">
        <f>(M52/29.5735)</f>
        <v/>
      </c>
      <c r="O52" s="124">
        <f>(L52/N52)</f>
        <v/>
      </c>
      <c r="P52" s="23">
        <f>($O52*P$2)</f>
        <v/>
      </c>
      <c r="Q52" s="23">
        <f>($O52*Q$2)</f>
        <v/>
      </c>
      <c r="R52" s="23">
        <f>($O52*R$2)</f>
        <v/>
      </c>
      <c r="S52" s="23">
        <f>($O52*S$2)</f>
        <v/>
      </c>
      <c r="T52" s="23">
        <f>($O52*T$2)</f>
        <v/>
      </c>
      <c r="U52" s="23">
        <f>($O52*U$2)</f>
        <v/>
      </c>
      <c r="V52" s="23">
        <f>($O52*V$2)</f>
        <v/>
      </c>
      <c r="W52" s="23">
        <f>($O52*W$2)</f>
        <v/>
      </c>
      <c r="X52" s="23">
        <f>($O52*X$2)</f>
        <v/>
      </c>
      <c r="Y52" s="23">
        <f>($O52*Y$2)</f>
        <v/>
      </c>
      <c r="Z52" s="23">
        <f>($O52*Z$2)</f>
        <v/>
      </c>
      <c r="AA52" s="23">
        <f>($O52*AA$2)</f>
        <v/>
      </c>
      <c r="AB52" s="23">
        <f>($O52*AB$2)</f>
        <v/>
      </c>
      <c r="AC52" s="23">
        <f>($O52*AC$2)</f>
        <v/>
      </c>
      <c r="AD52" s="23">
        <f>($O52*AD$2)</f>
        <v/>
      </c>
      <c r="AE52" s="23">
        <f>($O52*AE$2)</f>
        <v/>
      </c>
      <c r="AF52" s="13">
        <f>($O52*AF$2)</f>
        <v/>
      </c>
      <c r="AG52" s="94">
        <f>(AH52/O52)</f>
        <v/>
      </c>
      <c r="AH52" s="102" t="n">
        <v>13</v>
      </c>
      <c r="AI52" s="103">
        <f>(AH52*1.5)</f>
        <v/>
      </c>
      <c r="AJ52" s="104">
        <f>(AH52*2)</f>
        <v/>
      </c>
      <c r="AK52" s="119">
        <f>(AJ52+2)</f>
        <v/>
      </c>
      <c r="AL52" s="106">
        <f>(AH52*2.5)</f>
        <v/>
      </c>
      <c r="AM52" s="107">
        <f>(AH52*N52)*0.7</f>
        <v/>
      </c>
      <c r="AN52" s="55">
        <f>(1-(AO52)/(AH52*N52))</f>
        <v/>
      </c>
      <c r="AO52" s="107">
        <f>FLOOR(AM52,100)</f>
        <v/>
      </c>
      <c r="AP52" s="36" t="inlineStr">
        <is>
          <t>Blanco</t>
        </is>
      </c>
      <c r="AQ52" s="76" t="n"/>
    </row>
    <row r="53" ht="15" customHeight="1" thickBot="1">
      <c r="A53" s="75">
        <f>(A52+1)</f>
        <v/>
      </c>
      <c r="B53" s="36" t="inlineStr">
        <is>
          <t xml:space="preserve">Tierra Noble   </t>
        </is>
      </c>
      <c r="C53" s="36" t="n">
        <v>161364</v>
      </c>
      <c r="D53" s="122" t="n">
        <v>0</v>
      </c>
      <c r="E53" s="122" t="n">
        <v>24.51</v>
      </c>
      <c r="F53" s="36" t="n">
        <v>0</v>
      </c>
      <c r="G53" s="36" t="n">
        <v>0</v>
      </c>
      <c r="H53" s="36" t="n">
        <v>1</v>
      </c>
      <c r="I53" s="36" t="n">
        <v>1</v>
      </c>
      <c r="J53" s="122" t="n">
        <v>25.56</v>
      </c>
      <c r="K53" s="36" t="n">
        <v>24.51</v>
      </c>
      <c r="L53" s="122">
        <f>(E53+(15%*E53))</f>
        <v/>
      </c>
      <c r="M53" s="36" t="n">
        <v>750</v>
      </c>
      <c r="N53" s="123">
        <f>(M53/29.5735)</f>
        <v/>
      </c>
      <c r="O53" s="124">
        <f>(L53/N53)</f>
        <v/>
      </c>
      <c r="P53" s="23">
        <f>($O53*P$2)</f>
        <v/>
      </c>
      <c r="Q53" s="23">
        <f>($O53*Q$2)</f>
        <v/>
      </c>
      <c r="R53" s="23">
        <f>($O53*R$2)</f>
        <v/>
      </c>
      <c r="S53" s="23">
        <f>($O53*S$2)</f>
        <v/>
      </c>
      <c r="T53" s="23">
        <f>($O53*T$2)</f>
        <v/>
      </c>
      <c r="U53" s="23">
        <f>($O53*U$2)</f>
        <v/>
      </c>
      <c r="V53" s="23">
        <f>($O53*V$2)</f>
        <v/>
      </c>
      <c r="W53" s="23">
        <f>($O53*W$2)</f>
        <v/>
      </c>
      <c r="X53" s="23">
        <f>($O53*X$2)</f>
        <v/>
      </c>
      <c r="Y53" s="23">
        <f>($O53*Y$2)</f>
        <v/>
      </c>
      <c r="Z53" s="23">
        <f>($O53*Z$2)</f>
        <v/>
      </c>
      <c r="AA53" s="23">
        <f>($O53*AA$2)</f>
        <v/>
      </c>
      <c r="AB53" s="23">
        <f>($O53*AB$2)</f>
        <v/>
      </c>
      <c r="AC53" s="23">
        <f>($O53*AC$2)</f>
        <v/>
      </c>
      <c r="AD53" s="23">
        <f>($O53*AD$2)</f>
        <v/>
      </c>
      <c r="AE53" s="23">
        <f>($O53*AE$2)</f>
        <v/>
      </c>
      <c r="AF53" s="13">
        <f>($O53*AF$2)</f>
        <v/>
      </c>
      <c r="AG53" s="94">
        <f>(AH53/O53)</f>
        <v/>
      </c>
      <c r="AH53" s="102">
        <f>(O53*10)</f>
        <v/>
      </c>
      <c r="AI53" s="103">
        <f>(AH53*1.5)</f>
        <v/>
      </c>
      <c r="AJ53" s="104">
        <f>(AH53*2)</f>
        <v/>
      </c>
      <c r="AK53" s="119">
        <f>(AJ53+2)</f>
        <v/>
      </c>
      <c r="AL53" s="106">
        <f>(AH53*2.5)</f>
        <v/>
      </c>
      <c r="AM53" s="107">
        <f>(AH53*N53)*0.7</f>
        <v/>
      </c>
      <c r="AN53" s="55">
        <f>(1-(AO53)/(AH53*N53))</f>
        <v/>
      </c>
      <c r="AO53" s="107">
        <f>FLOOR(AM53,100)</f>
        <v/>
      </c>
      <c r="AP53" s="36" t="inlineStr">
        <is>
          <t>Blanco</t>
        </is>
      </c>
      <c r="AQ53" s="76" t="n"/>
    </row>
    <row r="54" ht="15" customHeight="1" thickBot="1">
      <c r="A54" s="75">
        <f>(A53+1)</f>
        <v/>
      </c>
      <c r="B54" s="36" t="inlineStr">
        <is>
          <t xml:space="preserve">Cimarron   </t>
        </is>
      </c>
      <c r="C54" s="36" t="n">
        <v>19910007</v>
      </c>
      <c r="D54" s="122" t="n">
        <v>0</v>
      </c>
      <c r="E54" s="122" t="n">
        <v>21.24</v>
      </c>
      <c r="F54" s="36" t="n">
        <v>0</v>
      </c>
      <c r="G54" s="36" t="n">
        <v>0</v>
      </c>
      <c r="H54" s="36" t="n">
        <v>2</v>
      </c>
      <c r="I54" s="36" t="n">
        <v>2</v>
      </c>
      <c r="J54" s="122" t="n">
        <v>47.76</v>
      </c>
      <c r="K54" s="36" t="n">
        <v>42.48</v>
      </c>
      <c r="L54" s="122">
        <f>(E54+(15%*E54))</f>
        <v/>
      </c>
      <c r="M54" s="36" t="n">
        <v>1000</v>
      </c>
      <c r="N54" s="123">
        <f>(M54/29.5735)</f>
        <v/>
      </c>
      <c r="O54" s="124">
        <f>(L54/N54)</f>
        <v/>
      </c>
      <c r="P54" s="23">
        <f>($O54*P$2)</f>
        <v/>
      </c>
      <c r="Q54" s="23">
        <f>($O54*Q$2)</f>
        <v/>
      </c>
      <c r="R54" s="23">
        <f>($O54*R$2)</f>
        <v/>
      </c>
      <c r="S54" s="23">
        <f>($O54*S$2)</f>
        <v/>
      </c>
      <c r="T54" s="23">
        <f>($O54*T$2)</f>
        <v/>
      </c>
      <c r="U54" s="23">
        <f>($O54*U$2)</f>
        <v/>
      </c>
      <c r="V54" s="23">
        <f>($O54*V$2)</f>
        <v/>
      </c>
      <c r="W54" s="23">
        <f>($O54*W$2)</f>
        <v/>
      </c>
      <c r="X54" s="23">
        <f>($O54*X$2)</f>
        <v/>
      </c>
      <c r="Y54" s="23">
        <f>($O54*Y$2)</f>
        <v/>
      </c>
      <c r="Z54" s="23">
        <f>($O54*Z$2)</f>
        <v/>
      </c>
      <c r="AA54" s="23">
        <f>($O54*AA$2)</f>
        <v/>
      </c>
      <c r="AB54" s="23">
        <f>($O54*AB$2)</f>
        <v/>
      </c>
      <c r="AC54" s="23">
        <f>($O54*AC$2)</f>
        <v/>
      </c>
      <c r="AD54" s="23">
        <f>($O54*AD$2)</f>
        <v/>
      </c>
      <c r="AE54" s="23">
        <f>($O54*AE$2)</f>
        <v/>
      </c>
      <c r="AF54" s="13">
        <f>($O54*AF$2)</f>
        <v/>
      </c>
      <c r="AG54" s="94">
        <f>(AH54/O54)</f>
        <v/>
      </c>
      <c r="AH54" s="102">
        <f>(O54*10)</f>
        <v/>
      </c>
      <c r="AI54" s="103">
        <f>(AH54*1.5)</f>
        <v/>
      </c>
      <c r="AJ54" s="104">
        <f>(AH54*2)</f>
        <v/>
      </c>
      <c r="AK54" s="119">
        <f>(AJ54+2)</f>
        <v/>
      </c>
      <c r="AL54" s="106">
        <f>(AH54*2.5)</f>
        <v/>
      </c>
      <c r="AM54" s="107">
        <f>(AH54*N54)*0.7</f>
        <v/>
      </c>
      <c r="AN54" s="55">
        <f>(1-(AO54)/(AH54*N54))</f>
        <v/>
      </c>
      <c r="AO54" s="107">
        <f>FLOOR(AM54,100)</f>
        <v/>
      </c>
      <c r="AP54" s="36" t="inlineStr">
        <is>
          <t>Blanco</t>
        </is>
      </c>
      <c r="AQ54" s="76" t="n"/>
    </row>
    <row r="55" ht="15" customFormat="1" customHeight="1" s="3" thickBot="1">
      <c r="A55" s="75">
        <f>(A54+1)</f>
        <v/>
      </c>
      <c r="B55" s="36" t="inlineStr">
        <is>
          <t xml:space="preserve">Patron Gran Platinum  </t>
        </is>
      </c>
      <c r="C55" s="36" t="n">
        <v>476761</v>
      </c>
      <c r="D55" s="122" t="n">
        <v>151.05</v>
      </c>
      <c r="E55" s="122" t="n">
        <v>153.62</v>
      </c>
      <c r="F55" s="36" t="n">
        <v>1</v>
      </c>
      <c r="G55" s="36" t="n">
        <v>0</v>
      </c>
      <c r="H55" s="36" t="n">
        <v>0</v>
      </c>
      <c r="I55" s="36" t="n">
        <v>3</v>
      </c>
      <c r="J55" s="122" t="n">
        <v>453.15</v>
      </c>
      <c r="K55" s="36" t="n">
        <v>453.15</v>
      </c>
      <c r="L55" s="122">
        <f>(E55+(15%*E55))</f>
        <v/>
      </c>
      <c r="M55" s="36" t="n">
        <v>750</v>
      </c>
      <c r="N55" s="123">
        <f>(M55/29.5735)</f>
        <v/>
      </c>
      <c r="O55" s="124">
        <f>(L55/N55)</f>
        <v/>
      </c>
      <c r="P55" s="23">
        <f>($O55*P$2)</f>
        <v/>
      </c>
      <c r="Q55" s="23">
        <f>($O55*Q$2)</f>
        <v/>
      </c>
      <c r="R55" s="23">
        <f>($O55*R$2)</f>
        <v/>
      </c>
      <c r="S55" s="23">
        <f>($O55*S$2)</f>
        <v/>
      </c>
      <c r="T55" s="23">
        <f>($O55*T$2)</f>
        <v/>
      </c>
      <c r="U55" s="23">
        <f>($O55*U$2)</f>
        <v/>
      </c>
      <c r="V55" s="13">
        <f>($O55*V$2)</f>
        <v/>
      </c>
      <c r="W55" s="23">
        <f>($O55*W$2)</f>
        <v/>
      </c>
      <c r="X55" s="23">
        <f>($O55*X$2)</f>
        <v/>
      </c>
      <c r="Y55" s="23">
        <f>($O55*Y$2)</f>
        <v/>
      </c>
      <c r="Z55" s="23">
        <f>($O55*Z$2)</f>
        <v/>
      </c>
      <c r="AA55" s="23">
        <f>($O55*AA$2)</f>
        <v/>
      </c>
      <c r="AB55" s="23">
        <f>($O55*AB$2)</f>
        <v/>
      </c>
      <c r="AC55" s="23">
        <f>($O55*AC$2)</f>
        <v/>
      </c>
      <c r="AD55" s="23">
        <f>($O55*AD$2)</f>
        <v/>
      </c>
      <c r="AE55" s="23">
        <f>($O55*AE$2)</f>
        <v/>
      </c>
      <c r="AF55" s="23">
        <f>($O55*AF$2)</f>
        <v/>
      </c>
      <c r="AG55" s="94">
        <f>(AH55/O55)</f>
        <v/>
      </c>
      <c r="AH55" s="102" t="n">
        <v>36</v>
      </c>
      <c r="AI55" s="103">
        <f>(AH55*1.5)</f>
        <v/>
      </c>
      <c r="AJ55" s="104">
        <f>(AH55*2)</f>
        <v/>
      </c>
      <c r="AK55" s="119">
        <f>(AJ55+2)</f>
        <v/>
      </c>
      <c r="AL55" s="106">
        <f>(AH55*2.5)</f>
        <v/>
      </c>
      <c r="AM55" s="107">
        <f>(AH55*N55)*0.7</f>
        <v/>
      </c>
      <c r="AN55" s="55">
        <f>(1-(AO55)/(AH55*N55))</f>
        <v/>
      </c>
      <c r="AO55" s="107">
        <f>FLOOR(AM55,100)</f>
        <v/>
      </c>
      <c r="AP55" s="36" t="inlineStr">
        <is>
          <t>Blanco</t>
        </is>
      </c>
      <c r="AQ55" s="76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n"/>
      <c r="CD55" s="11" t="n"/>
      <c r="CE55" s="11" t="n"/>
      <c r="CF55" s="11" t="n"/>
      <c r="CG55" s="11" t="n"/>
      <c r="CH55" s="11" t="n"/>
      <c r="CI55" s="11" t="n"/>
    </row>
    <row r="56" ht="15" customFormat="1" customHeight="1" s="3" thickBot="1">
      <c r="A56" s="75">
        <f>(A55+1)</f>
        <v/>
      </c>
      <c r="B56" s="36" t="inlineStr">
        <is>
          <t xml:space="preserve">Siembra Valles Ancestral  </t>
        </is>
      </c>
      <c r="C56" s="36" t="n">
        <v>210757</v>
      </c>
      <c r="D56" s="122" t="n">
        <v>0</v>
      </c>
      <c r="E56" s="122" t="n">
        <v>127.05</v>
      </c>
      <c r="F56" s="36" t="n">
        <v>0</v>
      </c>
      <c r="G56" s="36" t="n">
        <v>0</v>
      </c>
      <c r="H56" s="36" t="n">
        <v>1</v>
      </c>
      <c r="I56" s="36" t="n">
        <v>1</v>
      </c>
      <c r="J56" s="122" t="n">
        <v>127.05</v>
      </c>
      <c r="K56" s="36" t="n">
        <v>127.05</v>
      </c>
      <c r="L56" s="122">
        <f>(E56+(15%*E56))</f>
        <v/>
      </c>
      <c r="M56" s="36" t="n">
        <v>750</v>
      </c>
      <c r="N56" s="123">
        <f>(M56/29.5735)</f>
        <v/>
      </c>
      <c r="O56" s="124">
        <f>(L56/N56)</f>
        <v/>
      </c>
      <c r="P56" s="23">
        <f>($O56*P$2)</f>
        <v/>
      </c>
      <c r="Q56" s="23">
        <f>($O56*Q$2)</f>
        <v/>
      </c>
      <c r="R56" s="23">
        <f>($O56*R$2)</f>
        <v/>
      </c>
      <c r="S56" s="23">
        <f>($O56*S$2)</f>
        <v/>
      </c>
      <c r="T56" s="23">
        <f>($O56*T$2)</f>
        <v/>
      </c>
      <c r="U56" s="23">
        <f>($O56*U$2)</f>
        <v/>
      </c>
      <c r="V56" s="23">
        <f>($O56*V$2)</f>
        <v/>
      </c>
      <c r="W56" s="13">
        <f>($O56*W$2)</f>
        <v/>
      </c>
      <c r="X56" s="23">
        <f>($O56*X$2)</f>
        <v/>
      </c>
      <c r="Y56" s="23">
        <f>($O56*Y$2)</f>
        <v/>
      </c>
      <c r="Z56" s="23">
        <f>($O56*Z$2)</f>
        <v/>
      </c>
      <c r="AA56" s="23">
        <f>($O56*AA$2)</f>
        <v/>
      </c>
      <c r="AB56" s="23">
        <f>($O56*AB$2)</f>
        <v/>
      </c>
      <c r="AC56" s="23">
        <f>($O56*AC$2)</f>
        <v/>
      </c>
      <c r="AD56" s="23">
        <f>($O56*AD$2)</f>
        <v/>
      </c>
      <c r="AE56" s="23">
        <f>($O56*AE$2)</f>
        <v/>
      </c>
      <c r="AF56" s="23">
        <f>($O56*AF$2)</f>
        <v/>
      </c>
      <c r="AG56" s="94">
        <f>(AH56/O56)</f>
        <v/>
      </c>
      <c r="AH56" s="102" t="n">
        <v>36</v>
      </c>
      <c r="AI56" s="103">
        <f>(AH56*1.5)</f>
        <v/>
      </c>
      <c r="AJ56" s="104">
        <f>(AH56*2)</f>
        <v/>
      </c>
      <c r="AK56" s="119">
        <f>(AJ56+2)</f>
        <v/>
      </c>
      <c r="AL56" s="106">
        <f>(AH56*2.5)</f>
        <v/>
      </c>
      <c r="AM56" s="107">
        <f>(AH56*N56)*0.7</f>
        <v/>
      </c>
      <c r="AN56" s="55">
        <f>(1-(AO56)/(AH56*N56))</f>
        <v/>
      </c>
      <c r="AO56" s="107">
        <f>FLOOR(AM56,100)</f>
        <v/>
      </c>
      <c r="AP56" s="36" t="inlineStr">
        <is>
          <t>Blanco</t>
        </is>
      </c>
      <c r="AQ56" s="76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</row>
    <row r="57" ht="18" customFormat="1" customHeight="1" s="3" thickBot="1">
      <c r="A57" s="75">
        <f>(A56+1)</f>
        <v/>
      </c>
      <c r="B57" s="36" t="inlineStr">
        <is>
          <t xml:space="preserve">Reserva de la Familia Platino  </t>
        </is>
      </c>
      <c r="C57" s="36" t="n">
        <v>24895009</v>
      </c>
      <c r="D57" s="122" t="n">
        <v>0</v>
      </c>
      <c r="E57" s="122" t="n">
        <v>55.73</v>
      </c>
      <c r="F57" s="36" t="n">
        <v>0</v>
      </c>
      <c r="G57" s="36" t="n">
        <v>0</v>
      </c>
      <c r="H57" s="36" t="n">
        <v>1</v>
      </c>
      <c r="I57" s="36" t="n">
        <v>1</v>
      </c>
      <c r="J57" s="122" t="n">
        <v>55.74</v>
      </c>
      <c r="K57" s="36" t="n">
        <v>55.73</v>
      </c>
      <c r="L57" s="122">
        <f>(E57+(15%*E57))</f>
        <v/>
      </c>
      <c r="M57" s="36" t="n">
        <v>750</v>
      </c>
      <c r="N57" s="123">
        <f>(M57/29.5735)</f>
        <v/>
      </c>
      <c r="O57" s="124">
        <f>(L57/N57)</f>
        <v/>
      </c>
      <c r="P57" s="23">
        <f>($O57*P$2)</f>
        <v/>
      </c>
      <c r="Q57" s="23">
        <f>($O57*Q$2)</f>
        <v/>
      </c>
      <c r="R57" s="23">
        <f>($O57*R$2)</f>
        <v/>
      </c>
      <c r="S57" s="23">
        <f>($O57*S$2)</f>
        <v/>
      </c>
      <c r="T57" s="23">
        <f>($O57*T$2)</f>
        <v/>
      </c>
      <c r="U57" s="23">
        <f>($O57*U$2)</f>
        <v/>
      </c>
      <c r="V57" s="23">
        <f>($O57*V$2)</f>
        <v/>
      </c>
      <c r="W57" s="23">
        <f>($O57*W$2)</f>
        <v/>
      </c>
      <c r="X57" s="23">
        <f>($O57*X$2)</f>
        <v/>
      </c>
      <c r="Y57" s="23">
        <f>($O57*Y$2)</f>
        <v/>
      </c>
      <c r="Z57" s="23">
        <f>($O57*Z$2)</f>
        <v/>
      </c>
      <c r="AA57" s="23">
        <f>($O57*AA$2)</f>
        <v/>
      </c>
      <c r="AB57" s="23">
        <f>($O57*AB$2)</f>
        <v/>
      </c>
      <c r="AC57" s="23">
        <f>($O57*AC$2)</f>
        <v/>
      </c>
      <c r="AD57" s="23">
        <f>($O57*AD$2)</f>
        <v/>
      </c>
      <c r="AE57" s="23">
        <f>($O57*AE$2)</f>
        <v/>
      </c>
      <c r="AF57" s="13">
        <f>($O57*AF$2)</f>
        <v/>
      </c>
      <c r="AG57" s="94">
        <f>(AH57/O57)</f>
        <v/>
      </c>
      <c r="AH57" s="102">
        <f>(O57*10)</f>
        <v/>
      </c>
      <c r="AI57" s="103">
        <f>(AH57*1.5)</f>
        <v/>
      </c>
      <c r="AJ57" s="104">
        <f>(AH57*2)</f>
        <v/>
      </c>
      <c r="AK57" s="119">
        <f>(AJ57+2)</f>
        <v/>
      </c>
      <c r="AL57" s="106">
        <f>(AH57*2.5)</f>
        <v/>
      </c>
      <c r="AM57" s="107">
        <f>(AH57*N57)*0.7</f>
        <v/>
      </c>
      <c r="AN57" s="55">
        <f>(1-(AO57)/(AH57*N57))</f>
        <v/>
      </c>
      <c r="AO57" s="107">
        <f>FLOOR(AM57,100)</f>
        <v/>
      </c>
      <c r="AP57" s="36" t="inlineStr">
        <is>
          <t>Blanco</t>
        </is>
      </c>
      <c r="AQ57" s="76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n"/>
      <c r="CD57" s="11" t="n"/>
      <c r="CE57" s="11" t="n"/>
      <c r="CF57" s="11" t="n"/>
      <c r="CG57" s="11" t="n"/>
      <c r="CH57" s="11" t="n"/>
      <c r="CI57" s="11" t="n"/>
    </row>
    <row r="58" ht="15" customFormat="1" customHeight="1" s="3" thickBot="1">
      <c r="A58" s="75">
        <f>(A57+1)</f>
        <v/>
      </c>
      <c r="B58" s="36" t="inlineStr">
        <is>
          <t xml:space="preserve">Lobos 1707 Joven  </t>
        </is>
      </c>
      <c r="C58" s="36" t="n">
        <v>993199</v>
      </c>
      <c r="D58" s="122" t="n">
        <v>0</v>
      </c>
      <c r="E58" s="122" t="n">
        <v>35.94</v>
      </c>
      <c r="F58" s="36" t="n">
        <v>0</v>
      </c>
      <c r="G58" s="36" t="n">
        <v>0</v>
      </c>
      <c r="H58" s="36" t="n">
        <v>1</v>
      </c>
      <c r="I58" s="36" t="n">
        <v>1</v>
      </c>
      <c r="J58" s="122" t="n">
        <v>38.04</v>
      </c>
      <c r="K58" s="36" t="n">
        <v>35.94</v>
      </c>
      <c r="L58" s="122">
        <f>(E58+(15%*E58))</f>
        <v/>
      </c>
      <c r="M58" s="36" t="n">
        <v>750</v>
      </c>
      <c r="N58" s="123">
        <f>(M58/29.5735)</f>
        <v/>
      </c>
      <c r="O58" s="124">
        <f>(L58/N58)</f>
        <v/>
      </c>
      <c r="P58" s="23">
        <f>($O58*P$2)</f>
        <v/>
      </c>
      <c r="Q58" s="23">
        <f>($O58*Q$2)</f>
        <v/>
      </c>
      <c r="R58" s="23">
        <f>($O58*R$2)</f>
        <v/>
      </c>
      <c r="S58" s="23">
        <f>($O58*S$2)</f>
        <v/>
      </c>
      <c r="T58" s="23">
        <f>($O58*T$2)</f>
        <v/>
      </c>
      <c r="U58" s="23">
        <f>($O58*U$2)</f>
        <v/>
      </c>
      <c r="V58" s="23">
        <f>($O58*V$2)</f>
        <v/>
      </c>
      <c r="W58" s="23">
        <f>($O58*W$2)</f>
        <v/>
      </c>
      <c r="X58" s="23">
        <f>($O58*X$2)</f>
        <v/>
      </c>
      <c r="Y58" s="23">
        <f>($O58*Y$2)</f>
        <v/>
      </c>
      <c r="Z58" s="23">
        <f>($O58*Z$2)</f>
        <v/>
      </c>
      <c r="AA58" s="23">
        <f>($O58*AA$2)</f>
        <v/>
      </c>
      <c r="AB58" s="23">
        <f>($O58*AB$2)</f>
        <v/>
      </c>
      <c r="AC58" s="23">
        <f>($O58*AC$2)</f>
        <v/>
      </c>
      <c r="AD58" s="23">
        <f>($O58*AD$2)</f>
        <v/>
      </c>
      <c r="AE58" s="23">
        <f>($O58*AE$2)</f>
        <v/>
      </c>
      <c r="AF58" s="13">
        <f>($O58*AF$2)</f>
        <v/>
      </c>
      <c r="AG58" s="94">
        <f>(AH58/O58)</f>
        <v/>
      </c>
      <c r="AH58" s="102" t="n">
        <v>16</v>
      </c>
      <c r="AI58" s="103">
        <f>(AH58*1.5)</f>
        <v/>
      </c>
      <c r="AJ58" s="104">
        <f>(AH58*2)</f>
        <v/>
      </c>
      <c r="AK58" s="119">
        <f>(AJ58+2)</f>
        <v/>
      </c>
      <c r="AL58" s="106">
        <f>(AH58*2.5)</f>
        <v/>
      </c>
      <c r="AM58" s="107">
        <f>(AH58*N58)*0.7</f>
        <v/>
      </c>
      <c r="AN58" s="55">
        <f>(1-(AO58)/(AH58*N58))</f>
        <v/>
      </c>
      <c r="AO58" s="107">
        <f>FLOOR(AM58,100)</f>
        <v/>
      </c>
      <c r="AP58" s="36" t="inlineStr">
        <is>
          <t>Blanco</t>
        </is>
      </c>
      <c r="AQ58" s="76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</row>
    <row r="59" ht="15" customHeight="1" thickBot="1">
      <c r="A59" s="20">
        <f>(A58+1)</f>
        <v/>
      </c>
      <c r="B59" s="78" t="inlineStr">
        <is>
          <t xml:space="preserve">Butterfly Cannon Blue  </t>
        </is>
      </c>
      <c r="C59" s="78" t="n">
        <v>28357009</v>
      </c>
      <c r="D59" s="125" t="n">
        <v>0</v>
      </c>
      <c r="E59" s="125" t="n">
        <v>29.95</v>
      </c>
      <c r="F59" s="78" t="n">
        <v>0</v>
      </c>
      <c r="G59" s="78" t="n">
        <v>0</v>
      </c>
      <c r="H59" s="78" t="n">
        <v>1</v>
      </c>
      <c r="I59" s="78" t="n">
        <v>1</v>
      </c>
      <c r="J59" s="125" t="n">
        <v>32.71</v>
      </c>
      <c r="K59" s="78" t="n">
        <v>29.95</v>
      </c>
      <c r="L59" s="125">
        <f>(E59+(15%*E59))</f>
        <v/>
      </c>
      <c r="M59" s="78" t="n">
        <v>750</v>
      </c>
      <c r="N59" s="126">
        <f>(M59/29.5735)</f>
        <v/>
      </c>
      <c r="O59" s="127">
        <f>(L59/N59)</f>
        <v/>
      </c>
      <c r="P59" s="81">
        <f>($O59*P$2)</f>
        <v/>
      </c>
      <c r="Q59" s="81">
        <f>($O59*Q$2)</f>
        <v/>
      </c>
      <c r="R59" s="81">
        <f>($O59*R$2)</f>
        <v/>
      </c>
      <c r="S59" s="81">
        <f>($O59*S$2)</f>
        <v/>
      </c>
      <c r="T59" s="81">
        <f>($O59*T$2)</f>
        <v/>
      </c>
      <c r="U59" s="81">
        <f>($O59*U$2)</f>
        <v/>
      </c>
      <c r="V59" s="81">
        <f>($O59*V$2)</f>
        <v/>
      </c>
      <c r="W59" s="81">
        <f>($O59*W$2)</f>
        <v/>
      </c>
      <c r="X59" s="81">
        <f>($O59*X$2)</f>
        <v/>
      </c>
      <c r="Y59" s="81">
        <f>($O59*Y$2)</f>
        <v/>
      </c>
      <c r="Z59" s="81">
        <f>($O59*Z$2)</f>
        <v/>
      </c>
      <c r="AA59" s="81">
        <f>($O59*AA$2)</f>
        <v/>
      </c>
      <c r="AB59" s="81">
        <f>($O59*AB$2)</f>
        <v/>
      </c>
      <c r="AC59" s="81">
        <f>($O59*AC$2)</f>
        <v/>
      </c>
      <c r="AD59" s="81">
        <f>($O59*AD$2)</f>
        <v/>
      </c>
      <c r="AE59" s="81">
        <f>($O59*AE$2)</f>
        <v/>
      </c>
      <c r="AF59" s="14">
        <f>($O59*AF$2)</f>
        <v/>
      </c>
      <c r="AG59" s="128">
        <f>(AH59/O59)</f>
        <v/>
      </c>
      <c r="AH59" s="129">
        <f>(O59*10)</f>
        <v/>
      </c>
      <c r="AI59" s="130">
        <f>(AH59*1.5)</f>
        <v/>
      </c>
      <c r="AJ59" s="131">
        <f>(AH59*2)</f>
        <v/>
      </c>
      <c r="AK59" s="119">
        <f>(AJ59+2)</f>
        <v/>
      </c>
      <c r="AL59" s="132">
        <f>(AH59*2.5)</f>
        <v/>
      </c>
      <c r="AM59" s="133">
        <f>(AH59*N59)*0.7</f>
        <v/>
      </c>
      <c r="AN59" s="88">
        <f>(1-(AO59)/(AH59*N59))</f>
        <v/>
      </c>
      <c r="AO59" s="133">
        <f>FLOOR(AM59,100)</f>
        <v/>
      </c>
      <c r="AP59" s="78" t="inlineStr">
        <is>
          <t>Blanco</t>
        </is>
      </c>
      <c r="AQ59" s="89" t="n"/>
    </row>
    <row r="60" ht="15" customHeight="1" thickBot="1">
      <c r="A60" s="18">
        <f>(A59+1)</f>
        <v/>
      </c>
      <c r="B60" s="63" t="inlineStr">
        <is>
          <t xml:space="preserve">Komos    </t>
        </is>
      </c>
      <c r="C60" s="63" t="n">
        <v>993054</v>
      </c>
      <c r="D60" s="112" t="n">
        <v>0</v>
      </c>
      <c r="E60" s="112" t="n">
        <v>119.26</v>
      </c>
      <c r="F60" s="63" t="n">
        <v>0</v>
      </c>
      <c r="G60" s="63" t="n">
        <v>0</v>
      </c>
      <c r="H60" s="63" t="n">
        <v>1</v>
      </c>
      <c r="I60" s="63" t="n">
        <v>1</v>
      </c>
      <c r="J60" s="112" t="n">
        <v>121.92</v>
      </c>
      <c r="K60" s="63" t="n">
        <v>119.29</v>
      </c>
      <c r="L60" s="112">
        <f>(E60+(15%*E60))</f>
        <v/>
      </c>
      <c r="M60" s="63" t="n">
        <v>750</v>
      </c>
      <c r="N60" s="113">
        <f>(M60/29.5735)</f>
        <v/>
      </c>
      <c r="O60" s="114">
        <f>(L60/N60)</f>
        <v/>
      </c>
      <c r="P60" s="66">
        <f>($O60*P$2)</f>
        <v/>
      </c>
      <c r="Q60" s="66">
        <f>($O60*Q$2)</f>
        <v/>
      </c>
      <c r="R60" s="66">
        <f>($O60*R$2)</f>
        <v/>
      </c>
      <c r="S60" s="66">
        <f>($O60*S$2)</f>
        <v/>
      </c>
      <c r="T60" s="66">
        <f>($O60*T$2)</f>
        <v/>
      </c>
      <c r="U60" s="66">
        <f>($O60*U$2)</f>
        <v/>
      </c>
      <c r="V60" s="66">
        <f>($O60*V$2)</f>
        <v/>
      </c>
      <c r="W60" s="66">
        <f>($O60*W$2)</f>
        <v/>
      </c>
      <c r="X60" s="67">
        <f>($O60*X$2)</f>
        <v/>
      </c>
      <c r="Y60" s="66">
        <f>($O60*Y$2)</f>
        <v/>
      </c>
      <c r="Z60" s="66">
        <f>($O60*Z$2)</f>
        <v/>
      </c>
      <c r="AA60" s="66">
        <f>($O60*AA$2)</f>
        <v/>
      </c>
      <c r="AB60" s="66">
        <f>($O60*AB$2)</f>
        <v/>
      </c>
      <c r="AC60" s="66">
        <f>($O60*AC$2)</f>
        <v/>
      </c>
      <c r="AD60" s="66">
        <f>($O60*AD$2)</f>
        <v/>
      </c>
      <c r="AE60" s="66">
        <f>($O60*AE$2)</f>
        <v/>
      </c>
      <c r="AF60" s="66">
        <f>($O60*AF$2)</f>
        <v/>
      </c>
      <c r="AG60" s="115">
        <f>(AH60/O60)</f>
        <v/>
      </c>
      <c r="AH60" s="116" t="n">
        <v>35</v>
      </c>
      <c r="AI60" s="117">
        <f>(AH60*1.5)</f>
        <v/>
      </c>
      <c r="AJ60" s="118">
        <f>(AH60*2)</f>
        <v/>
      </c>
      <c r="AK60" s="119">
        <f>(AJ60+2)</f>
        <v/>
      </c>
      <c r="AL60" s="120">
        <f>(AH60*2.5)</f>
        <v/>
      </c>
      <c r="AM60" s="121">
        <f>(AH60*N60)*0.7</f>
        <v/>
      </c>
      <c r="AN60" s="73">
        <f>(1-(AO60)/(AH60*N60))</f>
        <v/>
      </c>
      <c r="AO60" s="121">
        <f>FLOOR(AM60,100)</f>
        <v/>
      </c>
      <c r="AP60" s="63" t="inlineStr">
        <is>
          <t>Cristalino</t>
        </is>
      </c>
      <c r="AQ60" s="74" t="inlineStr">
        <is>
          <t>Anejo</t>
        </is>
      </c>
    </row>
    <row r="61" ht="15" customFormat="1" customHeight="1" s="3" thickBot="1">
      <c r="A61" s="75">
        <f>(A60+1)</f>
        <v/>
      </c>
      <c r="B61" s="36" t="inlineStr">
        <is>
          <t xml:space="preserve">Gran Centenario    </t>
        </is>
      </c>
      <c r="C61" s="36" t="n">
        <v>29164009</v>
      </c>
      <c r="D61" s="122" t="n">
        <v>0</v>
      </c>
      <c r="E61" s="122" t="n">
        <v>68</v>
      </c>
      <c r="F61" s="36" t="n">
        <v>0</v>
      </c>
      <c r="G61" s="36" t="n">
        <v>0</v>
      </c>
      <c r="H61" s="36" t="n">
        <v>1</v>
      </c>
      <c r="I61" s="36" t="n">
        <v>1</v>
      </c>
      <c r="J61" s="122" t="n">
        <v>68</v>
      </c>
      <c r="K61" s="36" t="n">
        <v>68</v>
      </c>
      <c r="L61" s="122">
        <f>(E61+(15%*E61))</f>
        <v/>
      </c>
      <c r="M61" s="36" t="n">
        <v>750</v>
      </c>
      <c r="N61" s="123">
        <f>(M61/29.5735)</f>
        <v/>
      </c>
      <c r="O61" s="124">
        <f>(L61/N61)</f>
        <v/>
      </c>
      <c r="P61" s="23">
        <f>($O61*P$2)</f>
        <v/>
      </c>
      <c r="Q61" s="23">
        <f>($O61*Q$2)</f>
        <v/>
      </c>
      <c r="R61" s="23">
        <f>($O61*R$2)</f>
        <v/>
      </c>
      <c r="S61" s="23">
        <f>($O61*S$2)</f>
        <v/>
      </c>
      <c r="T61" s="23">
        <f>($O61*T$2)</f>
        <v/>
      </c>
      <c r="U61" s="23">
        <f>($O61*U$2)</f>
        <v/>
      </c>
      <c r="V61" s="23">
        <f>($O61*V$2)</f>
        <v/>
      </c>
      <c r="W61" s="23">
        <f>($O61*W$2)</f>
        <v/>
      </c>
      <c r="X61" s="23">
        <f>($O61*X$2)</f>
        <v/>
      </c>
      <c r="Y61" s="23">
        <f>($O61*Y$2)</f>
        <v/>
      </c>
      <c r="Z61" s="23">
        <f>($O61*Z$2)</f>
        <v/>
      </c>
      <c r="AA61" s="23">
        <f>($O61*AA$2)</f>
        <v/>
      </c>
      <c r="AB61" s="23">
        <f>($O61*AB$2)</f>
        <v/>
      </c>
      <c r="AC61" s="23">
        <f>($O61*AC$2)</f>
        <v/>
      </c>
      <c r="AD61" s="23">
        <f>($O61*AD$2)</f>
        <v/>
      </c>
      <c r="AE61" s="13">
        <f>($O61*AE$2)</f>
        <v/>
      </c>
      <c r="AF61" s="23">
        <f>($O61*AF$2)</f>
        <v/>
      </c>
      <c r="AG61" s="94">
        <f>(AH61/O61)</f>
        <v/>
      </c>
      <c r="AH61" s="102" t="n">
        <v>27</v>
      </c>
      <c r="AI61" s="103">
        <f>(AH61*1.5)</f>
        <v/>
      </c>
      <c r="AJ61" s="104">
        <f>(AH61*2)</f>
        <v/>
      </c>
      <c r="AK61" s="119">
        <f>(AJ61+2)</f>
        <v/>
      </c>
      <c r="AL61" s="106">
        <f>(AH61*2.5)</f>
        <v/>
      </c>
      <c r="AM61" s="107">
        <f>(AH61*N61)*0.7</f>
        <v/>
      </c>
      <c r="AN61" s="55">
        <f>(1-(AO61)/(AH61*N61))</f>
        <v/>
      </c>
      <c r="AO61" s="107">
        <f>FLOOR(AM61,100)</f>
        <v/>
      </c>
      <c r="AP61" s="36" t="inlineStr">
        <is>
          <t>Cristalino</t>
        </is>
      </c>
      <c r="AQ61" s="76" t="inlineStr">
        <is>
          <t>Anejo</t>
        </is>
      </c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n"/>
      <c r="CD61" s="11" t="n"/>
      <c r="CE61" s="11" t="n"/>
      <c r="CF61" s="11" t="n"/>
      <c r="CG61" s="11" t="n"/>
      <c r="CH61" s="11" t="n"/>
      <c r="CI61" s="11" t="n"/>
    </row>
    <row r="62" ht="15" customHeight="1" thickBot="1">
      <c r="A62" s="75">
        <f>(A61+1)</f>
        <v/>
      </c>
      <c r="B62" s="36" t="inlineStr">
        <is>
          <t xml:space="preserve">Tierra Noble   </t>
        </is>
      </c>
      <c r="C62" s="36" t="n">
        <v>161384</v>
      </c>
      <c r="D62" s="122" t="n">
        <v>0</v>
      </c>
      <c r="E62" s="122" t="n">
        <v>41.91</v>
      </c>
      <c r="F62" s="36" t="n">
        <v>0</v>
      </c>
      <c r="G62" s="36" t="n">
        <v>0</v>
      </c>
      <c r="H62" s="36" t="n">
        <v>1</v>
      </c>
      <c r="I62" s="36" t="n">
        <v>1</v>
      </c>
      <c r="J62" s="122" t="n">
        <v>41.91</v>
      </c>
      <c r="K62" s="36" t="n">
        <v>40.86</v>
      </c>
      <c r="L62" s="122">
        <f>(E62+(15%*E62))</f>
        <v/>
      </c>
      <c r="M62" s="36" t="n">
        <v>750</v>
      </c>
      <c r="N62" s="123">
        <f>(M62/29.5735)</f>
        <v/>
      </c>
      <c r="O62" s="124">
        <f>(L62/N62)</f>
        <v/>
      </c>
      <c r="P62" s="23">
        <f>($O62*P$2)</f>
        <v/>
      </c>
      <c r="Q62" s="23">
        <f>($O62*Q$2)</f>
        <v/>
      </c>
      <c r="R62" s="23">
        <f>($O62*R$2)</f>
        <v/>
      </c>
      <c r="S62" s="23">
        <f>($O62*S$2)</f>
        <v/>
      </c>
      <c r="T62" s="23">
        <f>($O62*T$2)</f>
        <v/>
      </c>
      <c r="U62" s="23">
        <f>($O62*U$2)</f>
        <v/>
      </c>
      <c r="V62" s="23">
        <f>($O62*V$2)</f>
        <v/>
      </c>
      <c r="W62" s="23">
        <f>($O62*W$2)</f>
        <v/>
      </c>
      <c r="X62" s="23">
        <f>($O62*X$2)</f>
        <v/>
      </c>
      <c r="Y62" s="23">
        <f>($O62*Y$2)</f>
        <v/>
      </c>
      <c r="Z62" s="23">
        <f>($O62*Z$2)</f>
        <v/>
      </c>
      <c r="AA62" s="23">
        <f>($O62*AA$2)</f>
        <v/>
      </c>
      <c r="AB62" s="23">
        <f>($O62*AB$2)</f>
        <v/>
      </c>
      <c r="AC62" s="23">
        <f>($O62*AC$2)</f>
        <v/>
      </c>
      <c r="AD62" s="23">
        <f>($O62*AD$2)</f>
        <v/>
      </c>
      <c r="AE62" s="23">
        <f>($O62*AE$2)</f>
        <v/>
      </c>
      <c r="AF62" s="13">
        <f>($O62*AF$2)</f>
        <v/>
      </c>
      <c r="AG62" s="94">
        <f>(AH62/O62)</f>
        <v/>
      </c>
      <c r="AH62" s="102" t="n">
        <v>18</v>
      </c>
      <c r="AI62" s="103">
        <f>(AH62*1.5)</f>
        <v/>
      </c>
      <c r="AJ62" s="104">
        <f>(AH62*2)</f>
        <v/>
      </c>
      <c r="AK62" s="119">
        <f>(AJ62+2)</f>
        <v/>
      </c>
      <c r="AL62" s="106">
        <f>(AH62*2.5)</f>
        <v/>
      </c>
      <c r="AM62" s="107">
        <f>(AH62*N62)*0.7</f>
        <v/>
      </c>
      <c r="AN62" s="55">
        <f>(1-(AO62)/(AH62*N62))</f>
        <v/>
      </c>
      <c r="AO62" s="107">
        <f>FLOOR(AM62,100)</f>
        <v/>
      </c>
      <c r="AP62" s="36" t="inlineStr">
        <is>
          <t>Cristalino</t>
        </is>
      </c>
      <c r="AQ62" s="76" t="n"/>
    </row>
    <row r="63" ht="15" customHeight="1" thickBot="1">
      <c r="A63" s="20">
        <f>(A62+1)</f>
        <v/>
      </c>
      <c r="B63" s="78" t="inlineStr">
        <is>
          <t xml:space="preserve">Butterfly Cannon   </t>
        </is>
      </c>
      <c r="C63" s="78" t="n">
        <v>28356009</v>
      </c>
      <c r="D63" s="125" t="n">
        <v>0</v>
      </c>
      <c r="E63" s="125" t="n">
        <v>29.95</v>
      </c>
      <c r="F63" s="78" t="n">
        <v>0</v>
      </c>
      <c r="G63" s="78" t="n">
        <v>0</v>
      </c>
      <c r="H63" s="78" t="n">
        <v>1</v>
      </c>
      <c r="I63" s="78" t="n">
        <v>1</v>
      </c>
      <c r="J63" s="125" t="n">
        <v>32.71</v>
      </c>
      <c r="K63" s="78" t="n">
        <v>29.95</v>
      </c>
      <c r="L63" s="125">
        <f>(E63+(15%*E63))</f>
        <v/>
      </c>
      <c r="M63" s="78" t="n">
        <v>750</v>
      </c>
      <c r="N63" s="126">
        <f>(M63/29.5735)</f>
        <v/>
      </c>
      <c r="O63" s="127">
        <f>(L63/N63)</f>
        <v/>
      </c>
      <c r="P63" s="81">
        <f>($O63*P$2)</f>
        <v/>
      </c>
      <c r="Q63" s="81">
        <f>($O63*Q$2)</f>
        <v/>
      </c>
      <c r="R63" s="81">
        <f>($O63*R$2)</f>
        <v/>
      </c>
      <c r="S63" s="81">
        <f>($O63*S$2)</f>
        <v/>
      </c>
      <c r="T63" s="81">
        <f>($O63*T$2)</f>
        <v/>
      </c>
      <c r="U63" s="81">
        <f>($O63*U$2)</f>
        <v/>
      </c>
      <c r="V63" s="81">
        <f>($O63*V$2)</f>
        <v/>
      </c>
      <c r="W63" s="81">
        <f>($O63*W$2)</f>
        <v/>
      </c>
      <c r="X63" s="81">
        <f>($O63*X$2)</f>
        <v/>
      </c>
      <c r="Y63" s="81">
        <f>($O63*Y$2)</f>
        <v/>
      </c>
      <c r="Z63" s="81">
        <f>($O63*Z$2)</f>
        <v/>
      </c>
      <c r="AA63" s="81">
        <f>($O63*AA$2)</f>
        <v/>
      </c>
      <c r="AB63" s="81">
        <f>($O63*AB$2)</f>
        <v/>
      </c>
      <c r="AC63" s="81">
        <f>($O63*AC$2)</f>
        <v/>
      </c>
      <c r="AD63" s="81">
        <f>($O63*AD$2)</f>
        <v/>
      </c>
      <c r="AE63" s="81">
        <f>($O63*AE$2)</f>
        <v/>
      </c>
      <c r="AF63" s="14">
        <f>($O63*AF$2)</f>
        <v/>
      </c>
      <c r="AG63" s="128">
        <f>(AH63/O63)</f>
        <v/>
      </c>
      <c r="AH63" s="129">
        <f>(O63*10)</f>
        <v/>
      </c>
      <c r="AI63" s="130">
        <f>(AH63*1.5)</f>
        <v/>
      </c>
      <c r="AJ63" s="131">
        <f>(AH63*2)</f>
        <v/>
      </c>
      <c r="AK63" s="119">
        <f>(AJ63+2)</f>
        <v/>
      </c>
      <c r="AL63" s="132">
        <f>(AH63*2.5)</f>
        <v/>
      </c>
      <c r="AM63" s="133">
        <f>(AH63*N63)*0.7</f>
        <v/>
      </c>
      <c r="AN63" s="88">
        <f>(1-(AO63)/(AH63*N63))</f>
        <v/>
      </c>
      <c r="AO63" s="133">
        <f>FLOOR(AM63,100)</f>
        <v/>
      </c>
      <c r="AP63" s="78" t="inlineStr">
        <is>
          <t>Cristalino</t>
        </is>
      </c>
      <c r="AQ63" s="89" t="n"/>
    </row>
    <row r="64" ht="15" customHeight="1" thickBot="1">
      <c r="A64" s="18">
        <f>(A63+1)</f>
        <v/>
      </c>
      <c r="B64" s="63" t="inlineStr">
        <is>
          <t xml:space="preserve">Maestro Dobel 50 1968    </t>
        </is>
      </c>
      <c r="C64" s="63" t="n">
        <v>31016009</v>
      </c>
      <c r="D64" s="112" t="n">
        <v>776.25</v>
      </c>
      <c r="E64" s="112" t="n">
        <v>776.25</v>
      </c>
      <c r="F64" s="63" t="n">
        <v>2</v>
      </c>
      <c r="G64" s="63" t="n">
        <v>0</v>
      </c>
      <c r="H64" s="63" t="n">
        <v>0</v>
      </c>
      <c r="I64" s="63" t="n">
        <v>2</v>
      </c>
      <c r="J64" s="112" t="n">
        <v>1552.5</v>
      </c>
      <c r="K64" s="63" t="n">
        <v>1552.5</v>
      </c>
      <c r="L64" s="112">
        <f>(E64+(15%*E64))</f>
        <v/>
      </c>
      <c r="M64" s="63" t="n">
        <v>750</v>
      </c>
      <c r="N64" s="113">
        <f>(M64/29.5735)</f>
        <v/>
      </c>
      <c r="O64" s="114">
        <f>(L64/N64)</f>
        <v/>
      </c>
      <c r="P64" s="66">
        <f>($O64*P$2)</f>
        <v/>
      </c>
      <c r="Q64" s="66">
        <f>($O64*Q$2)</f>
        <v/>
      </c>
      <c r="R64" s="67">
        <f>($O64*R$2)</f>
        <v/>
      </c>
      <c r="S64" s="66">
        <f>($O64*S$2)</f>
        <v/>
      </c>
      <c r="T64" s="66">
        <f>($O64*T$2)</f>
        <v/>
      </c>
      <c r="U64" s="66">
        <f>($O64*U$2)</f>
        <v/>
      </c>
      <c r="V64" s="66">
        <f>($O64*V$2)</f>
        <v/>
      </c>
      <c r="W64" s="66">
        <f>($O64*W$2)</f>
        <v/>
      </c>
      <c r="X64" s="66">
        <f>($O64*X$2)</f>
        <v/>
      </c>
      <c r="Y64" s="66">
        <f>($O64*Y$2)</f>
        <v/>
      </c>
      <c r="Z64" s="66">
        <f>($O64*Z$2)</f>
        <v/>
      </c>
      <c r="AA64" s="66">
        <f>($O64*AA$2)</f>
        <v/>
      </c>
      <c r="AB64" s="66">
        <f>($O64*AB$2)</f>
        <v/>
      </c>
      <c r="AC64" s="66">
        <f>($O64*AC$2)</f>
        <v/>
      </c>
      <c r="AD64" s="66">
        <f>($O64*AD$2)</f>
        <v/>
      </c>
      <c r="AE64" s="66">
        <f>($O64*AE$2)</f>
        <v/>
      </c>
      <c r="AF64" s="66">
        <f>($O64*AF$2)</f>
        <v/>
      </c>
      <c r="AG64" s="115">
        <f>(AH64/O64)</f>
        <v/>
      </c>
      <c r="AH64" s="116" t="n">
        <v>110</v>
      </c>
      <c r="AI64" s="117">
        <f>(AH64*1.5)</f>
        <v/>
      </c>
      <c r="AJ64" s="118">
        <f>(AH64*2)</f>
        <v/>
      </c>
      <c r="AK64" s="119">
        <f>(AJ64+2)</f>
        <v/>
      </c>
      <c r="AL64" s="120">
        <f>(AH64*2.5)</f>
        <v/>
      </c>
      <c r="AM64" s="121">
        <f>(AH64*N64)*0.7</f>
        <v/>
      </c>
      <c r="AN64" s="73">
        <f>(1-(AO64)/(AH64*N64))</f>
        <v/>
      </c>
      <c r="AO64" s="121">
        <f>FLOOR(AM64,100)</f>
        <v/>
      </c>
      <c r="AP64" s="63" t="inlineStr">
        <is>
          <t>Extra Anejo</t>
        </is>
      </c>
      <c r="AQ64" s="74" t="n"/>
    </row>
    <row r="65" ht="15" customFormat="1" customHeight="1" s="3" thickBot="1">
      <c r="A65" s="75">
        <f>(A64+1)</f>
        <v/>
      </c>
      <c r="B65" s="36" t="inlineStr">
        <is>
          <t xml:space="preserve">Maestro Dobel 50 1969    </t>
        </is>
      </c>
      <c r="C65" s="36" t="n">
        <v>31059009</v>
      </c>
      <c r="D65" s="122" t="n">
        <v>776.25</v>
      </c>
      <c r="E65" s="122" t="n">
        <v>776.25</v>
      </c>
      <c r="F65" s="36" t="n">
        <v>2</v>
      </c>
      <c r="G65" s="36" t="n">
        <v>0</v>
      </c>
      <c r="H65" s="36" t="n">
        <v>0</v>
      </c>
      <c r="I65" s="36" t="n">
        <v>2</v>
      </c>
      <c r="J65" s="122" t="n">
        <v>1552.5</v>
      </c>
      <c r="K65" s="36" t="n">
        <v>1552.5</v>
      </c>
      <c r="L65" s="122">
        <f>(E65+(15%*E65))</f>
        <v/>
      </c>
      <c r="M65" s="36" t="n">
        <v>750</v>
      </c>
      <c r="N65" s="123">
        <f>(M65/29.5735)</f>
        <v/>
      </c>
      <c r="O65" s="124">
        <f>(L65/N65)</f>
        <v/>
      </c>
      <c r="P65" s="23">
        <f>($O65*P$2)</f>
        <v/>
      </c>
      <c r="Q65" s="23">
        <f>($O65*Q$2)</f>
        <v/>
      </c>
      <c r="R65" s="13">
        <f>($O65*R$2)</f>
        <v/>
      </c>
      <c r="S65" s="23">
        <f>($O65*S$2)</f>
        <v/>
      </c>
      <c r="T65" s="23">
        <f>($O65*T$2)</f>
        <v/>
      </c>
      <c r="U65" s="23">
        <f>($O65*U$2)</f>
        <v/>
      </c>
      <c r="V65" s="23">
        <f>($O65*V$2)</f>
        <v/>
      </c>
      <c r="W65" s="23">
        <f>($O65*W$2)</f>
        <v/>
      </c>
      <c r="X65" s="23">
        <f>($O65*X$2)</f>
        <v/>
      </c>
      <c r="Y65" s="23">
        <f>($O65*Y$2)</f>
        <v/>
      </c>
      <c r="Z65" s="23">
        <f>($O65*Z$2)</f>
        <v/>
      </c>
      <c r="AA65" s="23">
        <f>($O65*AA$2)</f>
        <v/>
      </c>
      <c r="AB65" s="23">
        <f>($O65*AB$2)</f>
        <v/>
      </c>
      <c r="AC65" s="23">
        <f>($O65*AC$2)</f>
        <v/>
      </c>
      <c r="AD65" s="23">
        <f>($O65*AD$2)</f>
        <v/>
      </c>
      <c r="AE65" s="23">
        <f>($O65*AE$2)</f>
        <v/>
      </c>
      <c r="AF65" s="23">
        <f>($O65*AF$2)</f>
        <v/>
      </c>
      <c r="AG65" s="94">
        <f>(AH65/O65)</f>
        <v/>
      </c>
      <c r="AH65" s="102" t="n">
        <v>108</v>
      </c>
      <c r="AI65" s="103">
        <f>(AH65*1.5)</f>
        <v/>
      </c>
      <c r="AJ65" s="104">
        <f>(AH65*2)</f>
        <v/>
      </c>
      <c r="AK65" s="119">
        <f>(AJ65+2)</f>
        <v/>
      </c>
      <c r="AL65" s="106">
        <f>(AH65*2.5)</f>
        <v/>
      </c>
      <c r="AM65" s="107">
        <f>(AH65*N65)*0.7</f>
        <v/>
      </c>
      <c r="AN65" s="55">
        <f>(1-(AO65)/(AH65*N65))</f>
        <v/>
      </c>
      <c r="AO65" s="107">
        <f>FLOOR(AM65,100)</f>
        <v/>
      </c>
      <c r="AP65" s="36" t="inlineStr">
        <is>
          <t>Extra Anejo</t>
        </is>
      </c>
      <c r="AQ65" s="76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</row>
    <row r="66" ht="15" customFormat="1" customHeight="1" s="3" thickBot="1">
      <c r="A66" s="75">
        <f>(A65+1)</f>
        <v/>
      </c>
      <c r="B66" s="36" t="inlineStr">
        <is>
          <t xml:space="preserve">Maestro Dobel 50 1970    </t>
        </is>
      </c>
      <c r="C66" s="36" t="n">
        <v>31129009</v>
      </c>
      <c r="D66" s="122" t="n">
        <v>776.25</v>
      </c>
      <c r="E66" s="122" t="n">
        <v>776.25</v>
      </c>
      <c r="F66" s="36" t="n">
        <v>2</v>
      </c>
      <c r="G66" s="36" t="n">
        <v>0</v>
      </c>
      <c r="H66" s="36" t="n">
        <v>0</v>
      </c>
      <c r="I66" s="36" t="n">
        <v>2</v>
      </c>
      <c r="J66" s="122" t="n">
        <v>1552.5</v>
      </c>
      <c r="K66" s="36" t="n">
        <v>1552.5</v>
      </c>
      <c r="L66" s="122">
        <f>(E66+(15%*E66))</f>
        <v/>
      </c>
      <c r="M66" s="36" t="n">
        <v>750</v>
      </c>
      <c r="N66" s="123">
        <f>(M66/29.5735)</f>
        <v/>
      </c>
      <c r="O66" s="124">
        <f>(L66/N66)</f>
        <v/>
      </c>
      <c r="P66" s="23">
        <f>($O66*P$2)</f>
        <v/>
      </c>
      <c r="Q66" s="23">
        <f>($O66*Q$2)</f>
        <v/>
      </c>
      <c r="R66" s="13">
        <f>($O66*R$2)</f>
        <v/>
      </c>
      <c r="S66" s="23">
        <f>($O66*S$2)</f>
        <v/>
      </c>
      <c r="T66" s="23">
        <f>($O66*T$2)</f>
        <v/>
      </c>
      <c r="U66" s="23">
        <f>($O66*U$2)</f>
        <v/>
      </c>
      <c r="V66" s="23">
        <f>($O66*V$2)</f>
        <v/>
      </c>
      <c r="W66" s="23">
        <f>($O66*W$2)</f>
        <v/>
      </c>
      <c r="X66" s="23">
        <f>($O66*X$2)</f>
        <v/>
      </c>
      <c r="Y66" s="23">
        <f>($O66*Y$2)</f>
        <v/>
      </c>
      <c r="Z66" s="23">
        <f>($O66*Z$2)</f>
        <v/>
      </c>
      <c r="AA66" s="23">
        <f>($O66*AA$2)</f>
        <v/>
      </c>
      <c r="AB66" s="23">
        <f>($O66*AB$2)</f>
        <v/>
      </c>
      <c r="AC66" s="23">
        <f>($O66*AC$2)</f>
        <v/>
      </c>
      <c r="AD66" s="23">
        <f>($O66*AD$2)</f>
        <v/>
      </c>
      <c r="AE66" s="23">
        <f>($O66*AE$2)</f>
        <v/>
      </c>
      <c r="AF66" s="23">
        <f>($O66*AF$2)</f>
        <v/>
      </c>
      <c r="AG66" s="94">
        <f>(AH66/O66)</f>
        <v/>
      </c>
      <c r="AH66" s="102" t="n">
        <v>105</v>
      </c>
      <c r="AI66" s="103">
        <f>(AH66*1.5)</f>
        <v/>
      </c>
      <c r="AJ66" s="104">
        <f>(AH66*2)</f>
        <v/>
      </c>
      <c r="AK66" s="119">
        <f>(AJ66+2)</f>
        <v/>
      </c>
      <c r="AL66" s="106">
        <f>(AH66*2.5)</f>
        <v/>
      </c>
      <c r="AM66" s="107">
        <f>(AH66*N66)*0.7</f>
        <v/>
      </c>
      <c r="AN66" s="55">
        <f>(1-(AO66)/(AH66*N66))</f>
        <v/>
      </c>
      <c r="AO66" s="107">
        <f>FLOOR(AM66,100)</f>
        <v/>
      </c>
      <c r="AP66" s="36" t="inlineStr">
        <is>
          <t>Extra Anejo</t>
        </is>
      </c>
      <c r="AQ66" s="76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</row>
    <row r="67" ht="15" customFormat="1" customHeight="1" s="3" thickBot="1">
      <c r="A67" s="75">
        <f>(A66+1)</f>
        <v/>
      </c>
      <c r="B67" s="36" t="inlineStr">
        <is>
          <t xml:space="preserve">Patron Gran Piedra    </t>
        </is>
      </c>
      <c r="C67" s="36" t="n">
        <v>360260</v>
      </c>
      <c r="D67" s="122" t="n">
        <v>0</v>
      </c>
      <c r="E67" s="122" t="n">
        <v>278.62</v>
      </c>
      <c r="F67" s="36" t="n">
        <v>0</v>
      </c>
      <c r="G67" s="36" t="n">
        <v>0</v>
      </c>
      <c r="H67" s="36" t="n">
        <v>3</v>
      </c>
      <c r="I67" s="36" t="n">
        <v>3</v>
      </c>
      <c r="J67" s="122" t="n">
        <v>835.86</v>
      </c>
      <c r="K67" s="36" t="n">
        <v>835.86</v>
      </c>
      <c r="L67" s="122">
        <f>(E67+(15%*E67))</f>
        <v/>
      </c>
      <c r="M67" s="36" t="n">
        <v>750</v>
      </c>
      <c r="N67" s="123">
        <f>(M67/29.5735)</f>
        <v/>
      </c>
      <c r="O67" s="124">
        <f>(L67/N67)</f>
        <v/>
      </c>
      <c r="P67" s="23">
        <f>($O67*P$2)</f>
        <v/>
      </c>
      <c r="Q67" s="23">
        <f>($O67*Q$2)</f>
        <v/>
      </c>
      <c r="R67" s="23">
        <f>($O67*R$2)</f>
        <v/>
      </c>
      <c r="S67" s="23">
        <f>($O67*S$2)</f>
        <v/>
      </c>
      <c r="T67" s="13">
        <f>($O67*T$2)</f>
        <v/>
      </c>
      <c r="U67" s="23">
        <f>($O67*U$2)</f>
        <v/>
      </c>
      <c r="V67" s="23">
        <f>($O67*V$2)</f>
        <v/>
      </c>
      <c r="W67" s="23">
        <f>($O67*W$2)</f>
        <v/>
      </c>
      <c r="X67" s="23">
        <f>($O67*X$2)</f>
        <v/>
      </c>
      <c r="Y67" s="23">
        <f>($O67*Y$2)</f>
        <v/>
      </c>
      <c r="Z67" s="23">
        <f>($O67*Z$2)</f>
        <v/>
      </c>
      <c r="AA67" s="23">
        <f>($O67*AA$2)</f>
        <v/>
      </c>
      <c r="AB67" s="23">
        <f>($O67*AB$2)</f>
        <v/>
      </c>
      <c r="AC67" s="23">
        <f>($O67*AC$2)</f>
        <v/>
      </c>
      <c r="AD67" s="23">
        <f>($O67*AD$2)</f>
        <v/>
      </c>
      <c r="AE67" s="23">
        <f>($O67*AE$2)</f>
        <v/>
      </c>
      <c r="AF67" s="23">
        <f>($O67*AF$2)</f>
        <v/>
      </c>
      <c r="AG67" s="94">
        <f>(AH67/O67)</f>
        <v/>
      </c>
      <c r="AH67" s="102" t="n">
        <v>44</v>
      </c>
      <c r="AI67" s="103">
        <f>(AH67*1.5)</f>
        <v/>
      </c>
      <c r="AJ67" s="104">
        <f>(AH67*2)</f>
        <v/>
      </c>
      <c r="AK67" s="119">
        <f>(AJ67+2)</f>
        <v/>
      </c>
      <c r="AL67" s="106">
        <f>(AH67*2.5)</f>
        <v/>
      </c>
      <c r="AM67" s="107">
        <f>(AH67*N67)*0.7</f>
        <v/>
      </c>
      <c r="AN67" s="55">
        <f>(1-(AO67)/(AH67*N67))</f>
        <v/>
      </c>
      <c r="AO67" s="107">
        <f>FLOOR(AM67,100)</f>
        <v/>
      </c>
      <c r="AP67" s="36" t="inlineStr">
        <is>
          <t>Extra Anejo</t>
        </is>
      </c>
      <c r="AQ67" s="76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n"/>
      <c r="CD67" s="11" t="n"/>
      <c r="CE67" s="11" t="n"/>
      <c r="CF67" s="11" t="n"/>
      <c r="CG67" s="11" t="n"/>
      <c r="CH67" s="11" t="n"/>
      <c r="CI67" s="11" t="n"/>
    </row>
    <row r="68" ht="15" customHeight="1" thickBot="1">
      <c r="A68" s="75">
        <f>(A67+1)</f>
        <v/>
      </c>
      <c r="B68" s="36" t="inlineStr">
        <is>
          <t xml:space="preserve">Tears of Llorona </t>
        </is>
      </c>
      <c r="C68" s="36" t="n">
        <v>24171007</v>
      </c>
      <c r="D68" s="122" t="n">
        <v>0</v>
      </c>
      <c r="E68" s="122" t="n">
        <v>242.5</v>
      </c>
      <c r="F68" s="36" t="n">
        <v>0</v>
      </c>
      <c r="G68" s="36" t="n">
        <v>0</v>
      </c>
      <c r="H68" s="36" t="n">
        <v>1</v>
      </c>
      <c r="I68" s="36" t="n">
        <v>1</v>
      </c>
      <c r="J68" s="122" t="n">
        <v>245.13</v>
      </c>
      <c r="K68" s="36" t="n">
        <v>242.5</v>
      </c>
      <c r="L68" s="122">
        <f>(E68+(15%*E68))</f>
        <v/>
      </c>
      <c r="M68" s="36" t="n">
        <v>1000</v>
      </c>
      <c r="N68" s="123">
        <f>(M68/29.5735)</f>
        <v/>
      </c>
      <c r="O68" s="124">
        <f>(L68/N68)</f>
        <v/>
      </c>
      <c r="P68" s="23">
        <f>($O68*P$2)</f>
        <v/>
      </c>
      <c r="Q68" s="23">
        <f>($O68*Q$2)</f>
        <v/>
      </c>
      <c r="R68" s="23">
        <f>($O68*R$2)</f>
        <v/>
      </c>
      <c r="S68" s="23">
        <f>($O68*S$2)</f>
        <v/>
      </c>
      <c r="T68" s="23">
        <f>($O68*T$2)</f>
        <v/>
      </c>
      <c r="U68" s="13">
        <f>($O68*U$2)</f>
        <v/>
      </c>
      <c r="V68" s="23">
        <f>($O68*V$2)</f>
        <v/>
      </c>
      <c r="W68" s="23">
        <f>($O68*W$2)</f>
        <v/>
      </c>
      <c r="X68" s="23">
        <f>($O68*X$2)</f>
        <v/>
      </c>
      <c r="Y68" s="23">
        <f>($O68*Y$2)</f>
        <v/>
      </c>
      <c r="Z68" s="23">
        <f>($O68*Z$2)</f>
        <v/>
      </c>
      <c r="AA68" s="23">
        <f>($O68*AA$2)</f>
        <v/>
      </c>
      <c r="AB68" s="23">
        <f>($O68*AB$2)</f>
        <v/>
      </c>
      <c r="AC68" s="23">
        <f>($O68*AC$2)</f>
        <v/>
      </c>
      <c r="AD68" s="23">
        <f>($O68*AD$2)</f>
        <v/>
      </c>
      <c r="AE68" s="23">
        <f>($O68*AE$2)</f>
        <v/>
      </c>
      <c r="AF68" s="23">
        <f>($O68*AF$2)</f>
        <v/>
      </c>
      <c r="AG68" s="94">
        <f>(AH68/O68)</f>
        <v/>
      </c>
      <c r="AH68" s="102" t="n">
        <v>36</v>
      </c>
      <c r="AI68" s="103">
        <f>(AH68*1.5)</f>
        <v/>
      </c>
      <c r="AJ68" s="104">
        <f>(AH68*2)</f>
        <v/>
      </c>
      <c r="AK68" s="119">
        <f>(AJ68+2)</f>
        <v/>
      </c>
      <c r="AL68" s="106">
        <f>(AH68*2.5)</f>
        <v/>
      </c>
      <c r="AM68" s="107">
        <f>(AH68*N68)*0.7</f>
        <v/>
      </c>
      <c r="AN68" s="55">
        <f>(1-(AO68)/(AH68*N68))</f>
        <v/>
      </c>
      <c r="AO68" s="107">
        <f>FLOOR(AM68,100)</f>
        <v/>
      </c>
      <c r="AP68" s="36" t="inlineStr">
        <is>
          <t>Extra Anejo</t>
        </is>
      </c>
      <c r="AQ68" s="76" t="n"/>
    </row>
    <row r="69" ht="15" customHeight="1" thickBot="1">
      <c r="A69" s="75">
        <f>(A68+1)</f>
        <v/>
      </c>
      <c r="B69" s="36" t="inlineStr">
        <is>
          <t xml:space="preserve">Reserva de La Familia    </t>
        </is>
      </c>
      <c r="C69" s="36" t="n">
        <v>3794009</v>
      </c>
      <c r="D69" s="122" t="n">
        <v>0</v>
      </c>
      <c r="E69" s="122" t="n">
        <v>156.11</v>
      </c>
      <c r="F69" s="36" t="n">
        <v>0</v>
      </c>
      <c r="G69" s="36" t="n">
        <v>0</v>
      </c>
      <c r="H69" s="36" t="n">
        <v>1</v>
      </c>
      <c r="I69" s="36" t="n">
        <v>1</v>
      </c>
      <c r="J69" s="122" t="n">
        <v>156.12</v>
      </c>
      <c r="K69" s="36" t="n">
        <v>156.11</v>
      </c>
      <c r="L69" s="122">
        <f>(E69+(15%*E69))</f>
        <v/>
      </c>
      <c r="M69" s="36" t="n">
        <v>750</v>
      </c>
      <c r="N69" s="123">
        <f>(M69/29.5735)</f>
        <v/>
      </c>
      <c r="O69" s="124">
        <f>(L69/N69)</f>
        <v/>
      </c>
      <c r="P69" s="23">
        <f>($O69*P$2)</f>
        <v/>
      </c>
      <c r="Q69" s="23">
        <f>($O69*Q$2)</f>
        <v/>
      </c>
      <c r="R69" s="23">
        <f>($O69*R$2)</f>
        <v/>
      </c>
      <c r="S69" s="23">
        <f>($O69*S$2)</f>
        <v/>
      </c>
      <c r="T69" s="23">
        <f>($O69*T$2)</f>
        <v/>
      </c>
      <c r="U69" s="23">
        <f>($O69*U$2)</f>
        <v/>
      </c>
      <c r="V69" s="13">
        <f>($O69*V$2)</f>
        <v/>
      </c>
      <c r="W69" s="23">
        <f>($O69*W$2)</f>
        <v/>
      </c>
      <c r="X69" s="23">
        <f>($O69*X$2)</f>
        <v/>
      </c>
      <c r="Y69" s="23">
        <f>($O69*Y$2)</f>
        <v/>
      </c>
      <c r="Z69" s="23">
        <f>($O69*Z$2)</f>
        <v/>
      </c>
      <c r="AA69" s="23">
        <f>($O69*AA$2)</f>
        <v/>
      </c>
      <c r="AB69" s="23">
        <f>($O69*AB$2)</f>
        <v/>
      </c>
      <c r="AC69" s="23">
        <f>($O69*AC$2)</f>
        <v/>
      </c>
      <c r="AD69" s="23">
        <f>($O69*AD$2)</f>
        <v/>
      </c>
      <c r="AE69" s="23">
        <f>($O69*AE$2)</f>
        <v/>
      </c>
      <c r="AF69" s="23">
        <f>($O69*AF$2)</f>
        <v/>
      </c>
      <c r="AG69" s="94">
        <f>(AH69/O69)</f>
        <v/>
      </c>
      <c r="AH69" s="102" t="n">
        <v>36</v>
      </c>
      <c r="AI69" s="103">
        <f>(AH69*1.5)</f>
        <v/>
      </c>
      <c r="AJ69" s="104">
        <f>(AH69*2)</f>
        <v/>
      </c>
      <c r="AK69" s="119">
        <f>(AJ69+2)</f>
        <v/>
      </c>
      <c r="AL69" s="106">
        <f>(AH69*2.5)</f>
        <v/>
      </c>
      <c r="AM69" s="107">
        <f>(AH69*N69)*0.7</f>
        <v/>
      </c>
      <c r="AN69" s="55">
        <f>(1-(AO69)/(AH69*N69))</f>
        <v/>
      </c>
      <c r="AO69" s="107">
        <f>FLOOR(AM69,100)</f>
        <v/>
      </c>
      <c r="AP69" s="36" t="inlineStr">
        <is>
          <t>Extra Anejo</t>
        </is>
      </c>
      <c r="AQ69" s="76" t="n"/>
    </row>
    <row r="70" ht="15" customHeight="1" thickBot="1">
      <c r="A70" s="75">
        <f>(A69+1)</f>
        <v/>
      </c>
      <c r="B70" s="36" t="inlineStr">
        <is>
          <t xml:space="preserve">Gran Centenario Leyenda    </t>
        </is>
      </c>
      <c r="C70" s="36" t="n">
        <v>11476009</v>
      </c>
      <c r="D70" s="122" t="n">
        <v>0</v>
      </c>
      <c r="E70" s="122" t="n">
        <v>125.19</v>
      </c>
      <c r="F70" s="36" t="n">
        <v>0</v>
      </c>
      <c r="G70" s="36" t="n">
        <v>0</v>
      </c>
      <c r="H70" s="36" t="n">
        <v>1</v>
      </c>
      <c r="I70" s="36" t="n">
        <v>1</v>
      </c>
      <c r="J70" s="122" t="n">
        <v>125.19</v>
      </c>
      <c r="K70" s="36" t="n">
        <v>125.19</v>
      </c>
      <c r="L70" s="122">
        <f>(E70+(15%*E70))</f>
        <v/>
      </c>
      <c r="M70" s="36" t="n">
        <v>750</v>
      </c>
      <c r="N70" s="123">
        <f>(M70/29.5735)</f>
        <v/>
      </c>
      <c r="O70" s="124">
        <f>(L70/N70)</f>
        <v/>
      </c>
      <c r="P70" s="23">
        <f>($O70*P$2)</f>
        <v/>
      </c>
      <c r="Q70" s="23">
        <f>($O70*Q$2)</f>
        <v/>
      </c>
      <c r="R70" s="23">
        <f>($O70*R$2)</f>
        <v/>
      </c>
      <c r="S70" s="23">
        <f>($O70*S$2)</f>
        <v/>
      </c>
      <c r="T70" s="23">
        <f>($O70*T$2)</f>
        <v/>
      </c>
      <c r="U70" s="23">
        <f>($O70*U$2)</f>
        <v/>
      </c>
      <c r="V70" s="23">
        <f>($O70*V$2)</f>
        <v/>
      </c>
      <c r="W70" s="13">
        <f>($O70*W$2)</f>
        <v/>
      </c>
      <c r="X70" s="23">
        <f>($O70*X$2)</f>
        <v/>
      </c>
      <c r="Y70" s="23">
        <f>($O70*Y$2)</f>
        <v/>
      </c>
      <c r="Z70" s="23">
        <f>($O70*Z$2)</f>
        <v/>
      </c>
      <c r="AA70" s="23">
        <f>($O70*AA$2)</f>
        <v/>
      </c>
      <c r="AB70" s="23">
        <f>($O70*AB$2)</f>
        <v/>
      </c>
      <c r="AC70" s="23">
        <f>($O70*AC$2)</f>
        <v/>
      </c>
      <c r="AD70" s="23">
        <f>($O70*AD$2)</f>
        <v/>
      </c>
      <c r="AE70" s="23">
        <f>($O70*AE$2)</f>
        <v/>
      </c>
      <c r="AF70" s="23">
        <f>($O70*AF$2)</f>
        <v/>
      </c>
      <c r="AG70" s="94">
        <f>(AH70/O70)</f>
        <v/>
      </c>
      <c r="AH70" s="102" t="n">
        <v>36</v>
      </c>
      <c r="AI70" s="103">
        <f>(AH70*1.5)</f>
        <v/>
      </c>
      <c r="AJ70" s="104">
        <f>(AH70*2)</f>
        <v/>
      </c>
      <c r="AK70" s="119">
        <f>(AJ70+2)</f>
        <v/>
      </c>
      <c r="AL70" s="106">
        <f>(AH70*2.5)</f>
        <v/>
      </c>
      <c r="AM70" s="107">
        <f>(AH70*N70)*0.7</f>
        <v/>
      </c>
      <c r="AN70" s="55">
        <f>(1-(AO70)/(AH70*N70))</f>
        <v/>
      </c>
      <c r="AO70" s="107">
        <f>FLOOR(AM70,100)</f>
        <v/>
      </c>
      <c r="AP70" s="36" t="inlineStr">
        <is>
          <t>Extra Anejo</t>
        </is>
      </c>
      <c r="AQ70" s="76" t="n"/>
    </row>
    <row r="71" ht="15" customHeight="1" thickBot="1">
      <c r="A71" s="75">
        <f>(A70+1)</f>
        <v/>
      </c>
      <c r="B71" s="36" t="inlineStr">
        <is>
          <t xml:space="preserve">Lobos 1707    </t>
        </is>
      </c>
      <c r="C71" s="36" t="n">
        <v>993201</v>
      </c>
      <c r="D71" s="122" t="n">
        <v>0</v>
      </c>
      <c r="E71" s="122" t="n">
        <v>116.37</v>
      </c>
      <c r="F71" s="36" t="n">
        <v>0</v>
      </c>
      <c r="G71" s="36" t="n">
        <v>0</v>
      </c>
      <c r="H71" s="36" t="n">
        <v>1</v>
      </c>
      <c r="I71" s="36" t="n">
        <v>1</v>
      </c>
      <c r="J71" s="122" t="n">
        <v>118.47</v>
      </c>
      <c r="K71" s="36" t="n">
        <v>116.37</v>
      </c>
      <c r="L71" s="122">
        <f>(E71+(15%*E71))</f>
        <v/>
      </c>
      <c r="M71" s="36" t="n">
        <v>750</v>
      </c>
      <c r="N71" s="123">
        <f>(M71/29.5735)</f>
        <v/>
      </c>
      <c r="O71" s="124">
        <f>(L71/N71)</f>
        <v/>
      </c>
      <c r="P71" s="23">
        <f>($O71*P$2)</f>
        <v/>
      </c>
      <c r="Q71" s="23">
        <f>($O71*Q$2)</f>
        <v/>
      </c>
      <c r="R71" s="23">
        <f>($O71*R$2)</f>
        <v/>
      </c>
      <c r="S71" s="23">
        <f>($O71*S$2)</f>
        <v/>
      </c>
      <c r="T71" s="23">
        <f>($O71*T$2)</f>
        <v/>
      </c>
      <c r="U71" s="23">
        <f>($O71*U$2)</f>
        <v/>
      </c>
      <c r="V71" s="23">
        <f>($O71*V$2)</f>
        <v/>
      </c>
      <c r="W71" s="23">
        <f>($O71*W$2)</f>
        <v/>
      </c>
      <c r="X71" s="13">
        <f>($O71*X$2)</f>
        <v/>
      </c>
      <c r="Y71" s="23">
        <f>($O71*Y$2)</f>
        <v/>
      </c>
      <c r="Z71" s="23">
        <f>($O71*Z$2)</f>
        <v/>
      </c>
      <c r="AA71" s="23">
        <f>($O71*AA$2)</f>
        <v/>
      </c>
      <c r="AB71" s="23">
        <f>($O71*AB$2)</f>
        <v/>
      </c>
      <c r="AC71" s="23">
        <f>($O71*AC$2)</f>
        <v/>
      </c>
      <c r="AD71" s="23">
        <f>($O71*AD$2)</f>
        <v/>
      </c>
      <c r="AE71" s="23">
        <f>($O71*AE$2)</f>
        <v/>
      </c>
      <c r="AF71" s="23">
        <f>($O71*AF$2)</f>
        <v/>
      </c>
      <c r="AG71" s="94">
        <f>(AH71/O71)</f>
        <v/>
      </c>
      <c r="AH71" s="102" t="n">
        <v>34</v>
      </c>
      <c r="AI71" s="103">
        <f>(AH71*1.5)</f>
        <v/>
      </c>
      <c r="AJ71" s="104">
        <f>(AH71*2)</f>
        <v/>
      </c>
      <c r="AK71" s="119">
        <f>(AJ71+2)</f>
        <v/>
      </c>
      <c r="AL71" s="106">
        <f>(AH71*2.5)</f>
        <v/>
      </c>
      <c r="AM71" s="107">
        <f>(AH71*N71)*0.7</f>
        <v/>
      </c>
      <c r="AN71" s="55">
        <f>(1-(AO71)/(AH71*N71))</f>
        <v/>
      </c>
      <c r="AO71" s="107">
        <f>FLOOR(AM71,100)</f>
        <v/>
      </c>
      <c r="AP71" s="36" t="inlineStr">
        <is>
          <t>Extra Anejo</t>
        </is>
      </c>
      <c r="AQ71" s="76" t="n"/>
    </row>
    <row r="72" ht="15" customHeight="1" thickBot="1">
      <c r="A72" s="20">
        <f>(A71+1)</f>
        <v/>
      </c>
      <c r="B72" s="78" t="inlineStr">
        <is>
          <t xml:space="preserve">Patron    </t>
        </is>
      </c>
      <c r="C72" s="78" t="n">
        <v>482003</v>
      </c>
      <c r="D72" s="125" t="n">
        <v>0</v>
      </c>
      <c r="E72" s="125" t="n">
        <v>68.63</v>
      </c>
      <c r="F72" s="78" t="n">
        <v>0</v>
      </c>
      <c r="G72" s="78" t="n">
        <v>0</v>
      </c>
      <c r="H72" s="78" t="n">
        <v>1</v>
      </c>
      <c r="I72" s="78" t="n">
        <v>1</v>
      </c>
      <c r="J72" s="125" t="n">
        <v>71.25</v>
      </c>
      <c r="K72" s="78" t="n">
        <v>68.63</v>
      </c>
      <c r="L72" s="125">
        <f>(E72+(15%*E72))</f>
        <v/>
      </c>
      <c r="M72" s="78" t="n">
        <v>750</v>
      </c>
      <c r="N72" s="126">
        <f>(M72/29.5735)</f>
        <v/>
      </c>
      <c r="O72" s="127">
        <f>(L72/N72)</f>
        <v/>
      </c>
      <c r="P72" s="81">
        <f>($O72*P$2)</f>
        <v/>
      </c>
      <c r="Q72" s="81">
        <f>($O72*Q$2)</f>
        <v/>
      </c>
      <c r="R72" s="81">
        <f>($O72*R$2)</f>
        <v/>
      </c>
      <c r="S72" s="81">
        <f>($O72*S$2)</f>
        <v/>
      </c>
      <c r="T72" s="81">
        <f>($O72*T$2)</f>
        <v/>
      </c>
      <c r="U72" s="81">
        <f>($O72*U$2)</f>
        <v/>
      </c>
      <c r="V72" s="81">
        <f>($O72*V$2)</f>
        <v/>
      </c>
      <c r="W72" s="81">
        <f>($O72*W$2)</f>
        <v/>
      </c>
      <c r="X72" s="81">
        <f>($O72*X$2)</f>
        <v/>
      </c>
      <c r="Y72" s="81">
        <f>($O72*Y$2)</f>
        <v/>
      </c>
      <c r="Z72" s="81">
        <f>($O72*Z$2)</f>
        <v/>
      </c>
      <c r="AA72" s="81">
        <f>($O72*AA$2)</f>
        <v/>
      </c>
      <c r="AB72" s="81">
        <f>($O72*AB$2)</f>
        <v/>
      </c>
      <c r="AC72" s="81">
        <f>($O72*AC$2)</f>
        <v/>
      </c>
      <c r="AD72" s="14">
        <f>($O72*AD$2)</f>
        <v/>
      </c>
      <c r="AE72" s="81">
        <f>($O72*AE$2)</f>
        <v/>
      </c>
      <c r="AF72" s="81">
        <f>($O72*AF$2)</f>
        <v/>
      </c>
      <c r="AG72" s="128">
        <f>(AH72/O72)</f>
        <v/>
      </c>
      <c r="AH72" s="129" t="n">
        <v>27</v>
      </c>
      <c r="AI72" s="130">
        <f>(AH72*1.5)</f>
        <v/>
      </c>
      <c r="AJ72" s="131">
        <f>(AH72*2)</f>
        <v/>
      </c>
      <c r="AK72" s="119">
        <f>(AJ72+2)</f>
        <v/>
      </c>
      <c r="AL72" s="132">
        <f>(AH72*2.5)</f>
        <v/>
      </c>
      <c r="AM72" s="133">
        <f>(AH72*N72)*0.7</f>
        <v/>
      </c>
      <c r="AN72" s="88">
        <f>(1-(AO72)/(AH72*N72))</f>
        <v/>
      </c>
      <c r="AO72" s="133">
        <f>FLOOR(AM72,100)</f>
        <v/>
      </c>
      <c r="AP72" s="78" t="inlineStr">
        <is>
          <t>Extra Anejo</t>
        </is>
      </c>
      <c r="AQ72" s="89" t="n"/>
    </row>
    <row r="73" ht="15" customHeight="1" thickBot="1">
      <c r="A73" s="18">
        <f>(A72+1)</f>
        <v/>
      </c>
      <c r="B73" s="63" t="inlineStr">
        <is>
          <t xml:space="preserve">Cincoro   </t>
        </is>
      </c>
      <c r="C73" s="63" t="n">
        <v>564954</v>
      </c>
      <c r="D73" s="112" t="n">
        <v>0</v>
      </c>
      <c r="E73" s="112" t="n">
        <v>294</v>
      </c>
      <c r="F73" s="63" t="n">
        <v>0</v>
      </c>
      <c r="G73" s="63" t="n">
        <v>0</v>
      </c>
      <c r="H73" s="63" t="n">
        <v>1</v>
      </c>
      <c r="I73" s="63" t="n">
        <v>1</v>
      </c>
      <c r="J73" s="112" t="n">
        <v>296.63</v>
      </c>
      <c r="K73" s="63" t="n">
        <v>294</v>
      </c>
      <c r="L73" s="112">
        <f>(E73+(15%*E73))</f>
        <v/>
      </c>
      <c r="M73" s="63" t="n">
        <v>750</v>
      </c>
      <c r="N73" s="113">
        <f>(M73/29.5735)</f>
        <v/>
      </c>
      <c r="O73" s="114">
        <f>(L73/N73)</f>
        <v/>
      </c>
      <c r="P73" s="66">
        <f>($O73*P$2)</f>
        <v/>
      </c>
      <c r="Q73" s="66">
        <f>($O73*Q$2)</f>
        <v/>
      </c>
      <c r="R73" s="66">
        <f>($O73*R$2)</f>
        <v/>
      </c>
      <c r="S73" s="67">
        <f>($O73*S$2)</f>
        <v/>
      </c>
      <c r="T73" s="67">
        <f>($O73*T$2)</f>
        <v/>
      </c>
      <c r="U73" s="66">
        <f>($O73*U$2)</f>
        <v/>
      </c>
      <c r="V73" s="66">
        <f>($O73*V$2)</f>
        <v/>
      </c>
      <c r="W73" s="66">
        <f>($O73*W$2)</f>
        <v/>
      </c>
      <c r="X73" s="66">
        <f>($O73*X$2)</f>
        <v/>
      </c>
      <c r="Y73" s="66">
        <f>($O73*Y$2)</f>
        <v/>
      </c>
      <c r="Z73" s="66">
        <f>($O73*Z$2)</f>
        <v/>
      </c>
      <c r="AA73" s="66">
        <f>($O73*AA$2)</f>
        <v/>
      </c>
      <c r="AB73" s="66">
        <f>($O73*AB$2)</f>
        <v/>
      </c>
      <c r="AC73" s="66">
        <f>($O73*AC$2)</f>
        <v/>
      </c>
      <c r="AD73" s="66">
        <f>($O73*AD$2)</f>
        <v/>
      </c>
      <c r="AE73" s="66">
        <f>($O73*AE$2)</f>
        <v/>
      </c>
      <c r="AF73" s="66">
        <f>($O73*AF$2)</f>
        <v/>
      </c>
      <c r="AG73" s="115">
        <f>(AH73/O73)</f>
        <v/>
      </c>
      <c r="AH73" s="116" t="n">
        <v>44</v>
      </c>
      <c r="AI73" s="117">
        <f>(AH73*1.5)</f>
        <v/>
      </c>
      <c r="AJ73" s="118">
        <f>(AH73*2)</f>
        <v/>
      </c>
      <c r="AK73" s="119">
        <f>(AJ73+2)</f>
        <v/>
      </c>
      <c r="AL73" s="120">
        <f>(AH73*2.5)</f>
        <v/>
      </c>
      <c r="AM73" s="121">
        <f>(AH73*N73)*0.7</f>
        <v/>
      </c>
      <c r="AN73" s="73">
        <f>(1-(AO73)/(AH73*N73))</f>
        <v/>
      </c>
      <c r="AO73" s="121">
        <f>FLOOR(AM73,100)</f>
        <v/>
      </c>
      <c r="AP73" s="63" t="inlineStr">
        <is>
          <t>Gold</t>
        </is>
      </c>
      <c r="AQ73" s="74" t="n"/>
    </row>
    <row r="74" ht="15" customHeight="1" thickBot="1">
      <c r="A74" s="20">
        <f>(A73+1)</f>
        <v/>
      </c>
      <c r="B74" s="78" t="inlineStr">
        <is>
          <t xml:space="preserve">Clase Azul   </t>
        </is>
      </c>
      <c r="C74" s="78" t="n">
        <v>27352009</v>
      </c>
      <c r="D74" s="125" t="n">
        <v>183.84</v>
      </c>
      <c r="E74" s="125" t="n">
        <v>186.47</v>
      </c>
      <c r="F74" s="78" t="n">
        <v>1</v>
      </c>
      <c r="G74" s="78" t="n">
        <v>0</v>
      </c>
      <c r="H74" s="78" t="n">
        <v>2</v>
      </c>
      <c r="I74" s="78" t="n">
        <v>6</v>
      </c>
      <c r="J74" s="125" t="n">
        <v>1108.31</v>
      </c>
      <c r="K74" s="78" t="n">
        <v>1108.31</v>
      </c>
      <c r="L74" s="125">
        <f>(E74+(15%*E74))</f>
        <v/>
      </c>
      <c r="M74" s="78" t="n">
        <v>750</v>
      </c>
      <c r="N74" s="126">
        <f>(M74/29.5735)</f>
        <v/>
      </c>
      <c r="O74" s="127">
        <f>(L74/N74)</f>
        <v/>
      </c>
      <c r="P74" s="81">
        <f>($O74*P$2)</f>
        <v/>
      </c>
      <c r="Q74" s="81">
        <f>($O74*Q$2)</f>
        <v/>
      </c>
      <c r="R74" s="81">
        <f>($O74*R$2)</f>
        <v/>
      </c>
      <c r="S74" s="81">
        <f>($O74*S$2)</f>
        <v/>
      </c>
      <c r="T74" s="81">
        <f>($O74*T$2)</f>
        <v/>
      </c>
      <c r="U74" s="14">
        <f>($O74*U$2)</f>
        <v/>
      </c>
      <c r="V74" s="81">
        <f>($O74*V$2)</f>
        <v/>
      </c>
      <c r="W74" s="81">
        <f>($O74*W$2)</f>
        <v/>
      </c>
      <c r="X74" s="81">
        <f>($O74*X$2)</f>
        <v/>
      </c>
      <c r="Y74" s="81">
        <f>($O74*Y$2)</f>
        <v/>
      </c>
      <c r="Z74" s="81">
        <f>($O74*Z$2)</f>
        <v/>
      </c>
      <c r="AA74" s="81">
        <f>($O74*AA$2)</f>
        <v/>
      </c>
      <c r="AB74" s="81">
        <f>($O74*AB$2)</f>
        <v/>
      </c>
      <c r="AC74" s="81">
        <f>($O74*AC$2)</f>
        <v/>
      </c>
      <c r="AD74" s="81">
        <f>($O74*AD$2)</f>
        <v/>
      </c>
      <c r="AE74" s="81">
        <f>($O74*AE$2)</f>
        <v/>
      </c>
      <c r="AF74" s="81">
        <f>($O74*AF$2)</f>
        <v/>
      </c>
      <c r="AG74" s="128">
        <f>(AH74/O74)</f>
        <v/>
      </c>
      <c r="AH74" s="129" t="n">
        <v>37</v>
      </c>
      <c r="AI74" s="130">
        <f>(AH74*1.5)</f>
        <v/>
      </c>
      <c r="AJ74" s="131">
        <f>(AH74*2)</f>
        <v/>
      </c>
      <c r="AK74" s="119">
        <f>(AJ74+2)</f>
        <v/>
      </c>
      <c r="AL74" s="132">
        <f>(AH74*2.5)</f>
        <v/>
      </c>
      <c r="AM74" s="133">
        <f>(AH74*N74)*0.7</f>
        <v/>
      </c>
      <c r="AN74" s="88">
        <f>(1-(AO74)/(AH74*N74))</f>
        <v/>
      </c>
      <c r="AO74" s="133">
        <f>FLOOR(AM74,100)</f>
        <v/>
      </c>
      <c r="AP74" s="78" t="inlineStr">
        <is>
          <t>Gold</t>
        </is>
      </c>
      <c r="AQ74" s="89" t="n"/>
    </row>
    <row r="75" ht="15" customHeight="1" thickBot="1">
      <c r="A75" s="18">
        <f>(A74+1)</f>
        <v/>
      </c>
      <c r="B75" s="63" t="inlineStr">
        <is>
          <t xml:space="preserve">El Jolgorio Tepeztate   </t>
        </is>
      </c>
      <c r="C75" s="63" t="n">
        <v>41051</v>
      </c>
      <c r="D75" s="112" t="n">
        <v>0</v>
      </c>
      <c r="E75" s="112" t="n">
        <v>105</v>
      </c>
      <c r="F75" s="63" t="n">
        <v>0</v>
      </c>
      <c r="G75" s="63" t="n">
        <v>0</v>
      </c>
      <c r="H75" s="63" t="n">
        <v>1</v>
      </c>
      <c r="I75" s="63" t="n">
        <v>1</v>
      </c>
      <c r="J75" s="112" t="n">
        <v>107.1</v>
      </c>
      <c r="K75" s="63" t="n">
        <v>105</v>
      </c>
      <c r="L75" s="112">
        <f>(E75+(15%*E75))</f>
        <v/>
      </c>
      <c r="M75" s="63" t="n">
        <v>750</v>
      </c>
      <c r="N75" s="113">
        <f>(M75/29.5735)</f>
        <v/>
      </c>
      <c r="O75" s="114">
        <f>(L75/N75)</f>
        <v/>
      </c>
      <c r="P75" s="66">
        <f>($O75*P$2)</f>
        <v/>
      </c>
      <c r="Q75" s="66">
        <f>($O75*Q$2)</f>
        <v/>
      </c>
      <c r="R75" s="66">
        <f>($O75*R$2)</f>
        <v/>
      </c>
      <c r="S75" s="66">
        <f>($O75*S$2)</f>
        <v/>
      </c>
      <c r="T75" s="66">
        <f>($O75*T$2)</f>
        <v/>
      </c>
      <c r="U75" s="66">
        <f>($O75*U$2)</f>
        <v/>
      </c>
      <c r="V75" s="66">
        <f>($O75*V$2)</f>
        <v/>
      </c>
      <c r="W75" s="66">
        <f>($O75*W$2)</f>
        <v/>
      </c>
      <c r="X75" s="66">
        <f>($O75*X$2)</f>
        <v/>
      </c>
      <c r="Y75" s="67">
        <f>($O75*Y$2)</f>
        <v/>
      </c>
      <c r="Z75" s="66">
        <f>($O75*Z$2)</f>
        <v/>
      </c>
      <c r="AA75" s="66">
        <f>($O75*AA$2)</f>
        <v/>
      </c>
      <c r="AB75" s="66">
        <f>($O75*AB$2)</f>
        <v/>
      </c>
      <c r="AC75" s="66">
        <f>($O75*AC$2)</f>
        <v/>
      </c>
      <c r="AD75" s="66">
        <f>($O75*AD$2)</f>
        <v/>
      </c>
      <c r="AE75" s="66">
        <f>($O75*AE$2)</f>
        <v/>
      </c>
      <c r="AF75" s="66">
        <f>($O75*AF$2)</f>
        <v/>
      </c>
      <c r="AG75" s="115">
        <f>(AH75/O75)</f>
        <v/>
      </c>
      <c r="AH75" s="116" t="n">
        <v>33</v>
      </c>
      <c r="AI75" s="117">
        <f>(AH75*1.5)</f>
        <v/>
      </c>
      <c r="AJ75" s="118">
        <f>(AH75*2)</f>
        <v/>
      </c>
      <c r="AK75" s="119">
        <f>(AJ75+2)</f>
        <v/>
      </c>
      <c r="AL75" s="120">
        <f>(AH75*2.5)</f>
        <v/>
      </c>
      <c r="AM75" s="121">
        <f>(AH75*N75)*0.7</f>
        <v/>
      </c>
      <c r="AN75" s="73">
        <f>(1-(AO75)/(AH75*N75))</f>
        <v/>
      </c>
      <c r="AO75" s="121">
        <f>FLOOR(AM75,100)</f>
        <v/>
      </c>
      <c r="AP75" s="63" t="inlineStr">
        <is>
          <t>Mezcal</t>
        </is>
      </c>
      <c r="AQ75" s="74" t="n"/>
    </row>
    <row r="76" ht="15" customHeight="1" thickBot="1">
      <c r="A76" s="75">
        <f>(A75+1)</f>
        <v/>
      </c>
      <c r="B76" s="36" t="inlineStr">
        <is>
          <t xml:space="preserve">El Jolgorio Espadin   </t>
        </is>
      </c>
      <c r="C76" s="36" t="n">
        <v>41003</v>
      </c>
      <c r="D76" s="122" t="n">
        <v>0</v>
      </c>
      <c r="E76" s="122" t="n">
        <v>77.7</v>
      </c>
      <c r="F76" s="36" t="n">
        <v>0</v>
      </c>
      <c r="G76" s="36" t="n">
        <v>0</v>
      </c>
      <c r="H76" s="36" t="n">
        <v>1</v>
      </c>
      <c r="I76" s="36" t="n">
        <v>1</v>
      </c>
      <c r="J76" s="122" t="n">
        <v>79.8</v>
      </c>
      <c r="K76" s="36" t="n">
        <v>77.7</v>
      </c>
      <c r="L76" s="122">
        <f>(E76+(15%*E76))</f>
        <v/>
      </c>
      <c r="M76" s="36" t="n">
        <v>750</v>
      </c>
      <c r="N76" s="123">
        <f>(M76/29.5735)</f>
        <v/>
      </c>
      <c r="O76" s="124">
        <f>(L76/N76)</f>
        <v/>
      </c>
      <c r="P76" s="23">
        <f>($O76*P$2)</f>
        <v/>
      </c>
      <c r="Q76" s="23">
        <f>($O76*Q$2)</f>
        <v/>
      </c>
      <c r="R76" s="23">
        <f>($O76*R$2)</f>
        <v/>
      </c>
      <c r="S76" s="23">
        <f>($O76*S$2)</f>
        <v/>
      </c>
      <c r="T76" s="23">
        <f>($O76*T$2)</f>
        <v/>
      </c>
      <c r="U76" s="23">
        <f>($O76*U$2)</f>
        <v/>
      </c>
      <c r="V76" s="23">
        <f>($O76*V$2)</f>
        <v/>
      </c>
      <c r="W76" s="23">
        <f>($O76*W$2)</f>
        <v/>
      </c>
      <c r="X76" s="23">
        <f>($O76*X$2)</f>
        <v/>
      </c>
      <c r="Y76" s="23">
        <f>($O76*Y$2)</f>
        <v/>
      </c>
      <c r="Z76" s="23">
        <f>($O76*Z$2)</f>
        <v/>
      </c>
      <c r="AA76" s="23">
        <f>($O76*AA$2)</f>
        <v/>
      </c>
      <c r="AB76" s="13">
        <f>($O76*AB$2)</f>
        <v/>
      </c>
      <c r="AC76" s="23">
        <f>($O76*AC$2)</f>
        <v/>
      </c>
      <c r="AD76" s="23">
        <f>($O76*AD$2)</f>
        <v/>
      </c>
      <c r="AE76" s="23">
        <f>($O76*AE$2)</f>
        <v/>
      </c>
      <c r="AF76" s="23">
        <f>($O76*AF$2)</f>
        <v/>
      </c>
      <c r="AG76" s="94">
        <f>(AH76/O76)</f>
        <v/>
      </c>
      <c r="AH76" s="102" t="n">
        <v>29</v>
      </c>
      <c r="AI76" s="103">
        <f>(AH76*1.5)</f>
        <v/>
      </c>
      <c r="AJ76" s="104">
        <f>(AH76*2)</f>
        <v/>
      </c>
      <c r="AK76" s="119">
        <f>(AJ76+2)</f>
        <v/>
      </c>
      <c r="AL76" s="106">
        <f>(AH76*2.5)</f>
        <v/>
      </c>
      <c r="AM76" s="107">
        <f>(AH76*N76)*0.7</f>
        <v/>
      </c>
      <c r="AN76" s="55">
        <f>(1-(AO76)/(AH76*N76))</f>
        <v/>
      </c>
      <c r="AO76" s="107">
        <f>FLOOR(AM76,100)</f>
        <v/>
      </c>
      <c r="AP76" s="36" t="inlineStr">
        <is>
          <t>Mezcal</t>
        </is>
      </c>
      <c r="AQ76" s="76" t="n"/>
    </row>
    <row r="77" ht="15" customHeight="1" thickBot="1">
      <c r="A77" s="75">
        <f>(A76+1)</f>
        <v/>
      </c>
      <c r="B77" s="36" t="inlineStr">
        <is>
          <t xml:space="preserve">Quiereme Mucho Espadin   </t>
        </is>
      </c>
      <c r="C77" s="36" t="n">
        <v>30207004</v>
      </c>
      <c r="D77" s="122" t="n">
        <v>0</v>
      </c>
      <c r="E77" s="122" t="n">
        <v>48.83</v>
      </c>
      <c r="F77" s="36" t="n">
        <v>0</v>
      </c>
      <c r="G77" s="36" t="n">
        <v>0</v>
      </c>
      <c r="H77" s="36" t="n">
        <v>1</v>
      </c>
      <c r="I77" s="36" t="n">
        <v>1</v>
      </c>
      <c r="J77" s="122" t="n">
        <v>50.4</v>
      </c>
      <c r="K77" s="36" t="n">
        <v>48.83</v>
      </c>
      <c r="L77" s="122">
        <f>(E77+(15%*E77))</f>
        <v/>
      </c>
      <c r="M77" s="36" t="n">
        <v>750</v>
      </c>
      <c r="N77" s="123">
        <f>(M77/29.5735)</f>
        <v/>
      </c>
      <c r="O77" s="124">
        <f>(L77/N77)</f>
        <v/>
      </c>
      <c r="P77" s="23">
        <f>($O77*P$2)</f>
        <v/>
      </c>
      <c r="Q77" s="23">
        <f>($O77*Q$2)</f>
        <v/>
      </c>
      <c r="R77" s="23">
        <f>($O77*R$2)</f>
        <v/>
      </c>
      <c r="S77" s="23">
        <f>($O77*S$2)</f>
        <v/>
      </c>
      <c r="T77" s="23">
        <f>($O77*T$2)</f>
        <v/>
      </c>
      <c r="U77" s="23">
        <f>($O77*U$2)</f>
        <v/>
      </c>
      <c r="V77" s="23">
        <f>($O77*V$2)</f>
        <v/>
      </c>
      <c r="W77" s="23">
        <f>($O77*W$2)</f>
        <v/>
      </c>
      <c r="X77" s="23">
        <f>($O77*X$2)</f>
        <v/>
      </c>
      <c r="Y77" s="23">
        <f>($O77*Y$2)</f>
        <v/>
      </c>
      <c r="Z77" s="23">
        <f>($O77*Z$2)</f>
        <v/>
      </c>
      <c r="AA77" s="23">
        <f>($O77*AA$2)</f>
        <v/>
      </c>
      <c r="AB77" s="23">
        <f>($O77*AB$2)</f>
        <v/>
      </c>
      <c r="AC77" s="23">
        <f>($O77*AC$2)</f>
        <v/>
      </c>
      <c r="AD77" s="23">
        <f>($O77*AD$2)</f>
        <v/>
      </c>
      <c r="AE77" s="23">
        <f>($O77*AE$2)</f>
        <v/>
      </c>
      <c r="AF77" s="13">
        <f>($O77*AF$2)</f>
        <v/>
      </c>
      <c r="AG77" s="94">
        <f>(AH77/O77)</f>
        <v/>
      </c>
      <c r="AH77" s="102" t="n">
        <v>23</v>
      </c>
      <c r="AI77" s="103">
        <f>(AH77*1.5)</f>
        <v/>
      </c>
      <c r="AJ77" s="104">
        <f>(AH77*2)</f>
        <v/>
      </c>
      <c r="AK77" s="119">
        <f>(AJ77+2)</f>
        <v/>
      </c>
      <c r="AL77" s="106">
        <f>(AH77*2.5)</f>
        <v/>
      </c>
      <c r="AM77" s="107">
        <f>(AH77*N77)*0.7</f>
        <v/>
      </c>
      <c r="AN77" s="55">
        <f>(1-(AO77)/(AH77*N77))</f>
        <v/>
      </c>
      <c r="AO77" s="107">
        <f>FLOOR(AM77,100)</f>
        <v/>
      </c>
      <c r="AP77" s="36" t="inlineStr">
        <is>
          <t>Mezcal</t>
        </is>
      </c>
      <c r="AQ77" s="76" t="n"/>
    </row>
    <row r="78" ht="15" customHeight="1" thickBot="1">
      <c r="A78" s="20">
        <f>(A77+1)</f>
        <v/>
      </c>
      <c r="B78" s="78" t="inlineStr">
        <is>
          <t xml:space="preserve"> Vago Elote   </t>
        </is>
      </c>
      <c r="C78" s="78" t="n">
        <v>40001</v>
      </c>
      <c r="D78" s="125" t="n">
        <v>0</v>
      </c>
      <c r="E78" s="125" t="n">
        <v>47.25</v>
      </c>
      <c r="F78" s="78" t="n">
        <v>0</v>
      </c>
      <c r="G78" s="78" t="n">
        <v>0</v>
      </c>
      <c r="H78" s="78" t="n">
        <v>1</v>
      </c>
      <c r="I78" s="78" t="n">
        <v>1</v>
      </c>
      <c r="J78" s="125" t="n">
        <v>49.35</v>
      </c>
      <c r="K78" s="78" t="n">
        <v>47.25</v>
      </c>
      <c r="L78" s="125">
        <f>(E78+(15%*E78))</f>
        <v/>
      </c>
      <c r="M78" s="78" t="n">
        <v>750</v>
      </c>
      <c r="N78" s="126">
        <f>(M78/29.5735)</f>
        <v/>
      </c>
      <c r="O78" s="127">
        <f>(L78/N78)</f>
        <v/>
      </c>
      <c r="P78" s="81">
        <f>($O78*P$2)</f>
        <v/>
      </c>
      <c r="Q78" s="81">
        <f>($O78*Q$2)</f>
        <v/>
      </c>
      <c r="R78" s="81">
        <f>($O78*R$2)</f>
        <v/>
      </c>
      <c r="S78" s="81">
        <f>($O78*S$2)</f>
        <v/>
      </c>
      <c r="T78" s="81">
        <f>($O78*T$2)</f>
        <v/>
      </c>
      <c r="U78" s="81">
        <f>($O78*U$2)</f>
        <v/>
      </c>
      <c r="V78" s="81">
        <f>($O78*V$2)</f>
        <v/>
      </c>
      <c r="W78" s="81">
        <f>($O78*W$2)</f>
        <v/>
      </c>
      <c r="X78" s="81">
        <f>($O78*X$2)</f>
        <v/>
      </c>
      <c r="Y78" s="81">
        <f>($O78*Y$2)</f>
        <v/>
      </c>
      <c r="Z78" s="81">
        <f>($O78*Z$2)</f>
        <v/>
      </c>
      <c r="AA78" s="81">
        <f>($O78*AA$2)</f>
        <v/>
      </c>
      <c r="AB78" s="81">
        <f>($O78*AB$2)</f>
        <v/>
      </c>
      <c r="AC78" s="81">
        <f>($O78*AC$2)</f>
        <v/>
      </c>
      <c r="AD78" s="81">
        <f>($O78*AD$2)</f>
        <v/>
      </c>
      <c r="AE78" s="81">
        <f>($O78*AE$2)</f>
        <v/>
      </c>
      <c r="AF78" s="14">
        <f>($O78*AF$2)</f>
        <v/>
      </c>
      <c r="AG78" s="128">
        <f>(AH78/O78)</f>
        <v/>
      </c>
      <c r="AH78" s="129" t="n">
        <v>22</v>
      </c>
      <c r="AI78" s="130">
        <f>(AH78*1.5)</f>
        <v/>
      </c>
      <c r="AJ78" s="131">
        <f>(AH78*2)</f>
        <v/>
      </c>
      <c r="AK78" s="119">
        <f>(AJ78+2)</f>
        <v/>
      </c>
      <c r="AL78" s="132">
        <f>(AH78*2.5)</f>
        <v/>
      </c>
      <c r="AM78" s="133">
        <f>(AH78*N78)*0.7</f>
        <v/>
      </c>
      <c r="AN78" s="88">
        <f>(1-(AO78)/(AH78*N78))</f>
        <v/>
      </c>
      <c r="AO78" s="133">
        <f>FLOOR(AM78,100)</f>
        <v/>
      </c>
      <c r="AP78" s="78" t="inlineStr">
        <is>
          <t>Mezcal</t>
        </is>
      </c>
      <c r="AQ78" s="89" t="n"/>
    </row>
    <row r="79" ht="15" customHeight="1" thickBot="1">
      <c r="A79" s="18">
        <f>(A78+1)</f>
        <v/>
      </c>
      <c r="B79" s="63" t="inlineStr">
        <is>
          <t xml:space="preserve">Clase Azul   </t>
        </is>
      </c>
      <c r="C79" s="63" t="n">
        <v>18322009</v>
      </c>
      <c r="D79" s="112" t="n">
        <v>0</v>
      </c>
      <c r="E79" s="112" t="n">
        <v>130.74</v>
      </c>
      <c r="F79" s="63" t="n">
        <v>0</v>
      </c>
      <c r="G79" s="63" t="n">
        <v>0</v>
      </c>
      <c r="H79" s="63" t="n">
        <v>4</v>
      </c>
      <c r="I79" s="63" t="n">
        <v>4</v>
      </c>
      <c r="J79" s="112" t="n">
        <v>522.96</v>
      </c>
      <c r="K79" s="63" t="n">
        <v>522.96</v>
      </c>
      <c r="L79" s="112">
        <f>(E79+(15%*E79))</f>
        <v/>
      </c>
      <c r="M79" s="63" t="n">
        <v>750</v>
      </c>
      <c r="N79" s="113">
        <f>(M79/29.5735)</f>
        <v/>
      </c>
      <c r="O79" s="114">
        <f>(L79/N79)</f>
        <v/>
      </c>
      <c r="P79" s="66">
        <f>($O79*P$2)</f>
        <v/>
      </c>
      <c r="Q79" s="66">
        <f>($O79*Q$2)</f>
        <v/>
      </c>
      <c r="R79" s="66">
        <f>($O79*R$2)</f>
        <v/>
      </c>
      <c r="S79" s="66">
        <f>($O79*S$2)</f>
        <v/>
      </c>
      <c r="T79" s="66">
        <f>($O79*T$2)</f>
        <v/>
      </c>
      <c r="U79" s="66">
        <f>($O79*U$2)</f>
        <v/>
      </c>
      <c r="V79" s="66">
        <f>($O79*V$2)</f>
        <v/>
      </c>
      <c r="W79" s="67">
        <f>($O79*W$2)</f>
        <v/>
      </c>
      <c r="X79" s="66">
        <f>($O79*X$2)</f>
        <v/>
      </c>
      <c r="Y79" s="66">
        <f>($O79*Y$2)</f>
        <v/>
      </c>
      <c r="Z79" s="66">
        <f>($O79*Z$2)</f>
        <v/>
      </c>
      <c r="AA79" s="66">
        <f>($O79*AA$2)</f>
        <v/>
      </c>
      <c r="AB79" s="66">
        <f>($O79*AB$2)</f>
        <v/>
      </c>
      <c r="AC79" s="66">
        <f>($O79*AC$2)</f>
        <v/>
      </c>
      <c r="AD79" s="66">
        <f>($O79*AD$2)</f>
        <v/>
      </c>
      <c r="AE79" s="66">
        <f>($O79*AE$2)</f>
        <v/>
      </c>
      <c r="AF79" s="66">
        <f>($O79*AF$2)</f>
        <v/>
      </c>
      <c r="AG79" s="115">
        <f>(AH79/O79)</f>
        <v/>
      </c>
      <c r="AH79" s="116" t="n">
        <v>36</v>
      </c>
      <c r="AI79" s="117">
        <f>(AH79*1.5)</f>
        <v/>
      </c>
      <c r="AJ79" s="118">
        <f>(AH79*2)</f>
        <v/>
      </c>
      <c r="AK79" s="119">
        <f>(AJ79+2)</f>
        <v/>
      </c>
      <c r="AL79" s="120">
        <f>(AH79*2.5)</f>
        <v/>
      </c>
      <c r="AM79" s="121">
        <f>(AH79*N79)*0.7</f>
        <v/>
      </c>
      <c r="AN79" s="73">
        <f>(1-(AO79)/(AH79*N79))</f>
        <v/>
      </c>
      <c r="AO79" s="121">
        <f>FLOOR(AM79,100)</f>
        <v/>
      </c>
      <c r="AP79" s="63" t="inlineStr">
        <is>
          <t>Plata</t>
        </is>
      </c>
      <c r="AQ79" s="74" t="n"/>
    </row>
    <row r="80" ht="15" customHeight="1" thickBot="1">
      <c r="A80" s="75">
        <f>(A79+1)</f>
        <v/>
      </c>
      <c r="B80" s="36" t="inlineStr">
        <is>
          <t xml:space="preserve">Tres Generaciones   </t>
        </is>
      </c>
      <c r="C80" s="36" t="n">
        <v>245842</v>
      </c>
      <c r="D80" s="122" t="n">
        <v>0</v>
      </c>
      <c r="E80" s="122" t="n">
        <v>34.31</v>
      </c>
      <c r="F80" s="36" t="n">
        <v>0</v>
      </c>
      <c r="G80" s="36" t="n">
        <v>0</v>
      </c>
      <c r="H80" s="36" t="n">
        <v>2</v>
      </c>
      <c r="I80" s="36" t="n">
        <v>2</v>
      </c>
      <c r="J80" s="122" t="n">
        <v>73.88</v>
      </c>
      <c r="K80" s="36" t="n">
        <v>68.62</v>
      </c>
      <c r="L80" s="122">
        <f>(E80+(15%*E80))</f>
        <v/>
      </c>
      <c r="M80" s="36" t="n">
        <v>750</v>
      </c>
      <c r="N80" s="123">
        <f>(M80/29.5735)</f>
        <v/>
      </c>
      <c r="O80" s="124">
        <f>(L80/N80)</f>
        <v/>
      </c>
      <c r="P80" s="23">
        <f>($O80*P$2)</f>
        <v/>
      </c>
      <c r="Q80" s="23">
        <f>($O80*Q$2)</f>
        <v/>
      </c>
      <c r="R80" s="23">
        <f>($O80*R$2)</f>
        <v/>
      </c>
      <c r="S80" s="23">
        <f>($O80*S$2)</f>
        <v/>
      </c>
      <c r="T80" s="23">
        <f>($O80*T$2)</f>
        <v/>
      </c>
      <c r="U80" s="23">
        <f>($O80*U$2)</f>
        <v/>
      </c>
      <c r="V80" s="23">
        <f>($O80*V$2)</f>
        <v/>
      </c>
      <c r="W80" s="23">
        <f>($O80*W$2)</f>
        <v/>
      </c>
      <c r="X80" s="23">
        <f>($O80*X$2)</f>
        <v/>
      </c>
      <c r="Y80" s="23">
        <f>($O80*Y$2)</f>
        <v/>
      </c>
      <c r="Z80" s="23">
        <f>($O80*Z$2)</f>
        <v/>
      </c>
      <c r="AA80" s="23">
        <f>($O80*AA$2)</f>
        <v/>
      </c>
      <c r="AB80" s="23">
        <f>($O80*AB$2)</f>
        <v/>
      </c>
      <c r="AC80" s="23">
        <f>($O80*AC$2)</f>
        <v/>
      </c>
      <c r="AD80" s="23">
        <f>($O80*AD$2)</f>
        <v/>
      </c>
      <c r="AE80" s="23">
        <f>($O80*AE$2)</f>
        <v/>
      </c>
      <c r="AF80" s="13">
        <f>($O80*AF$2)</f>
        <v/>
      </c>
      <c r="AG80" s="94">
        <f>(AH80/O80)</f>
        <v/>
      </c>
      <c r="AH80" s="102">
        <f>(O80*10)</f>
        <v/>
      </c>
      <c r="AI80" s="103">
        <f>(AH80*1.5)</f>
        <v/>
      </c>
      <c r="AJ80" s="104">
        <f>(AH80*2)</f>
        <v/>
      </c>
      <c r="AK80" s="119">
        <f>(AJ80+2)</f>
        <v/>
      </c>
      <c r="AL80" s="106">
        <f>(AH80*2.5)</f>
        <v/>
      </c>
      <c r="AM80" s="107">
        <f>(AH80*N80)*0.7</f>
        <v/>
      </c>
      <c r="AN80" s="55">
        <f>(1-(AO80)/(AH80*N80))</f>
        <v/>
      </c>
      <c r="AO80" s="107">
        <f>FLOOR(AM80,100)</f>
        <v/>
      </c>
      <c r="AP80" s="36" t="inlineStr">
        <is>
          <t xml:space="preserve">Plata </t>
        </is>
      </c>
      <c r="AQ80" s="76" t="n"/>
    </row>
    <row r="81" ht="15" customHeight="1" thickBot="1">
      <c r="A81" s="20">
        <f>(A80+1)</f>
        <v/>
      </c>
      <c r="B81" s="78" t="inlineStr">
        <is>
          <t xml:space="preserve">Olmeca Altos   </t>
        </is>
      </c>
      <c r="C81" s="78" t="n">
        <v>298832</v>
      </c>
      <c r="D81" s="125" t="n">
        <v>0</v>
      </c>
      <c r="E81" s="125" t="n">
        <v>26.51</v>
      </c>
      <c r="F81" s="78" t="n">
        <v>0</v>
      </c>
      <c r="G81" s="78" t="n">
        <v>0</v>
      </c>
      <c r="H81" s="78" t="n">
        <v>2</v>
      </c>
      <c r="I81" s="78" t="n">
        <v>2</v>
      </c>
      <c r="J81" s="125" t="n">
        <v>58.28</v>
      </c>
      <c r="K81" s="78" t="n">
        <v>53.02</v>
      </c>
      <c r="L81" s="125">
        <f>(E81+(15%*E81))</f>
        <v/>
      </c>
      <c r="M81" s="78" t="n">
        <v>750</v>
      </c>
      <c r="N81" s="126">
        <f>(M81/29.5735)</f>
        <v/>
      </c>
      <c r="O81" s="127">
        <f>(L81/N81)</f>
        <v/>
      </c>
      <c r="P81" s="81">
        <f>($O81*P$2)</f>
        <v/>
      </c>
      <c r="Q81" s="81">
        <f>($O81*Q$2)</f>
        <v/>
      </c>
      <c r="R81" s="81">
        <f>($O81*R$2)</f>
        <v/>
      </c>
      <c r="S81" s="81">
        <f>($O81*S$2)</f>
        <v/>
      </c>
      <c r="T81" s="81">
        <f>($O81*T$2)</f>
        <v/>
      </c>
      <c r="U81" s="81">
        <f>($O81*U$2)</f>
        <v/>
      </c>
      <c r="V81" s="81">
        <f>($O81*V$2)</f>
        <v/>
      </c>
      <c r="W81" s="81">
        <f>($O81*W$2)</f>
        <v/>
      </c>
      <c r="X81" s="81">
        <f>($O81*X$2)</f>
        <v/>
      </c>
      <c r="Y81" s="81">
        <f>($O81*Y$2)</f>
        <v/>
      </c>
      <c r="Z81" s="81">
        <f>($O81*Z$2)</f>
        <v/>
      </c>
      <c r="AA81" s="81">
        <f>($O81*AA$2)</f>
        <v/>
      </c>
      <c r="AB81" s="81">
        <f>($O81*AB$2)</f>
        <v/>
      </c>
      <c r="AC81" s="81">
        <f>($O81*AC$2)</f>
        <v/>
      </c>
      <c r="AD81" s="81">
        <f>($O81*AD$2)</f>
        <v/>
      </c>
      <c r="AE81" s="81">
        <f>($O81*AE$2)</f>
        <v/>
      </c>
      <c r="AF81" s="14">
        <f>($O81*AF$2)</f>
        <v/>
      </c>
      <c r="AG81" s="128">
        <f>(AH81/O81)</f>
        <v/>
      </c>
      <c r="AH81" s="129">
        <f>(O81*10)</f>
        <v/>
      </c>
      <c r="AI81" s="130">
        <f>(AH81*1.5)</f>
        <v/>
      </c>
      <c r="AJ81" s="131">
        <f>(AH81*2)</f>
        <v/>
      </c>
      <c r="AK81" s="119">
        <f>(AJ81+2)</f>
        <v/>
      </c>
      <c r="AL81" s="132">
        <f>(AH81*2.5)</f>
        <v/>
      </c>
      <c r="AM81" s="133">
        <f>(AH81*N81)*0.7</f>
        <v/>
      </c>
      <c r="AN81" s="88">
        <f>(1-(AO81)/(AH81*N81))</f>
        <v/>
      </c>
      <c r="AO81" s="133">
        <f>FLOOR(AM81,100)</f>
        <v/>
      </c>
      <c r="AP81" s="78" t="inlineStr">
        <is>
          <t xml:space="preserve">Plata </t>
        </is>
      </c>
      <c r="AQ81" s="89" t="n"/>
    </row>
    <row r="82" ht="15" customHeight="1" thickBot="1">
      <c r="A82" s="18">
        <f>(A81+1)</f>
        <v/>
      </c>
      <c r="B82" s="63" t="inlineStr">
        <is>
          <t xml:space="preserve">G4 Dia de los Muertos Madiera   </t>
        </is>
      </c>
      <c r="C82" s="63" t="n">
        <v>400546</v>
      </c>
      <c r="D82" s="112" t="n">
        <v>231</v>
      </c>
      <c r="E82" s="112" t="n">
        <v>231</v>
      </c>
      <c r="F82" s="63" t="n">
        <v>1</v>
      </c>
      <c r="G82" s="63" t="n">
        <v>0</v>
      </c>
      <c r="H82" s="63" t="n">
        <v>0</v>
      </c>
      <c r="I82" s="63" t="n">
        <v>4</v>
      </c>
      <c r="J82" s="112" t="n">
        <v>924</v>
      </c>
      <c r="K82" s="63" t="n">
        <v>924</v>
      </c>
      <c r="L82" s="112">
        <f>(E82+(15%*E82))</f>
        <v/>
      </c>
      <c r="M82" s="63" t="n">
        <v>750</v>
      </c>
      <c r="N82" s="113">
        <f>(M82/29.5735)</f>
        <v/>
      </c>
      <c r="O82" s="114">
        <f>(L82/N82)</f>
        <v/>
      </c>
      <c r="P82" s="66">
        <f>($O82*P$2)</f>
        <v/>
      </c>
      <c r="Q82" s="66">
        <f>($O82*Q$2)</f>
        <v/>
      </c>
      <c r="R82" s="66">
        <f>($O82*R$2)</f>
        <v/>
      </c>
      <c r="S82" s="66">
        <f>($O82*S$2)</f>
        <v/>
      </c>
      <c r="T82" s="67">
        <f>($O82*T$2)</f>
        <v/>
      </c>
      <c r="U82" s="66">
        <f>($O82*U$2)</f>
        <v/>
      </c>
      <c r="V82" s="66">
        <f>($O82*V$2)</f>
        <v/>
      </c>
      <c r="W82" s="66">
        <f>($O82*W$2)</f>
        <v/>
      </c>
      <c r="X82" s="66">
        <f>($O82*X$2)</f>
        <v/>
      </c>
      <c r="Y82" s="66">
        <f>($O82*Y$2)</f>
        <v/>
      </c>
      <c r="Z82" s="66">
        <f>($O82*Z$2)</f>
        <v/>
      </c>
      <c r="AA82" s="66">
        <f>($O82*AA$2)</f>
        <v/>
      </c>
      <c r="AB82" s="66">
        <f>($O82*AB$2)</f>
        <v/>
      </c>
      <c r="AC82" s="66">
        <f>($O82*AC$2)</f>
        <v/>
      </c>
      <c r="AD82" s="66">
        <f>($O82*AD$2)</f>
        <v/>
      </c>
      <c r="AE82" s="66">
        <f>($O82*AE$2)</f>
        <v/>
      </c>
      <c r="AF82" s="66">
        <f>($O82*AF$2)</f>
        <v/>
      </c>
      <c r="AG82" s="115">
        <f>(AH82/O82)</f>
        <v/>
      </c>
      <c r="AH82" s="116" t="n">
        <v>37</v>
      </c>
      <c r="AI82" s="117">
        <f>(AH82*1.5)</f>
        <v/>
      </c>
      <c r="AJ82" s="118">
        <f>(AH82*2)</f>
        <v/>
      </c>
      <c r="AK82" s="119">
        <f>(AJ82+2)</f>
        <v/>
      </c>
      <c r="AL82" s="120">
        <f>(AH82*2.5)</f>
        <v/>
      </c>
      <c r="AM82" s="121">
        <f>(AH82*N82)*0.7</f>
        <v/>
      </c>
      <c r="AN82" s="73">
        <f>(1-(AO82)/(AH82*N82))</f>
        <v/>
      </c>
      <c r="AO82" s="121">
        <f>FLOOR(AM82,100)</f>
        <v/>
      </c>
      <c r="AP82" s="63" t="inlineStr">
        <is>
          <t>Reposado</t>
        </is>
      </c>
      <c r="AQ82" s="74" t="n"/>
    </row>
    <row r="83" ht="15" customHeight="1" thickBot="1">
      <c r="A83" s="75">
        <f>(A82+1)</f>
        <v/>
      </c>
      <c r="B83" s="36" t="inlineStr">
        <is>
          <t xml:space="preserve">Clase Azul   </t>
        </is>
      </c>
      <c r="C83" s="36" t="n">
        <v>18323009</v>
      </c>
      <c r="D83" s="122" t="n">
        <v>160.79</v>
      </c>
      <c r="E83" s="122" t="n">
        <v>163.42</v>
      </c>
      <c r="F83" s="36" t="n">
        <v>1</v>
      </c>
      <c r="G83" s="36" t="n">
        <v>0</v>
      </c>
      <c r="H83" s="36" t="n">
        <v>2</v>
      </c>
      <c r="I83" s="36" t="n">
        <v>8</v>
      </c>
      <c r="J83" s="122" t="n">
        <v>1291.6</v>
      </c>
      <c r="K83" s="36" t="n">
        <v>1291.59</v>
      </c>
      <c r="L83" s="122">
        <f>(E83+(15%*E83))</f>
        <v/>
      </c>
      <c r="M83" s="36" t="n">
        <v>750</v>
      </c>
      <c r="N83" s="123">
        <f>(M83/29.5735)</f>
        <v/>
      </c>
      <c r="O83" s="124">
        <f>(L83/N83)</f>
        <v/>
      </c>
      <c r="P83" s="23">
        <f>($O83*P$2)</f>
        <v/>
      </c>
      <c r="Q83" s="23">
        <f>($O83*Q$2)</f>
        <v/>
      </c>
      <c r="R83" s="23">
        <f>($O83*R$2)</f>
        <v/>
      </c>
      <c r="S83" s="23">
        <f>($O83*S$2)</f>
        <v/>
      </c>
      <c r="T83" s="23">
        <f>($O83*T$2)</f>
        <v/>
      </c>
      <c r="U83" s="13">
        <f>($O83*U$2)</f>
        <v/>
      </c>
      <c r="V83" s="13">
        <f>($O83*V$2)</f>
        <v/>
      </c>
      <c r="W83" s="23">
        <f>($O83*W$2)</f>
        <v/>
      </c>
      <c r="X83" s="23">
        <f>($O83*X$2)</f>
        <v/>
      </c>
      <c r="Y83" s="23">
        <f>($O83*Y$2)</f>
        <v/>
      </c>
      <c r="Z83" s="23">
        <f>($O83*Z$2)</f>
        <v/>
      </c>
      <c r="AA83" s="23">
        <f>($O83*AA$2)</f>
        <v/>
      </c>
      <c r="AB83" s="23">
        <f>($O83*AB$2)</f>
        <v/>
      </c>
      <c r="AC83" s="23">
        <f>($O83*AC$2)</f>
        <v/>
      </c>
      <c r="AD83" s="23">
        <f>($O83*AD$2)</f>
        <v/>
      </c>
      <c r="AE83" s="23">
        <f>($O83*AE$2)</f>
        <v/>
      </c>
      <c r="AF83" s="23">
        <f>($O83*AF$2)</f>
        <v/>
      </c>
      <c r="AG83" s="94">
        <f>(AH83/O83)</f>
        <v/>
      </c>
      <c r="AH83" s="102" t="n">
        <v>36</v>
      </c>
      <c r="AI83" s="103">
        <f>(AH83*1.5)</f>
        <v/>
      </c>
      <c r="AJ83" s="104">
        <f>(AH83*2)</f>
        <v/>
      </c>
      <c r="AK83" s="119">
        <f>(AJ83+2)</f>
        <v/>
      </c>
      <c r="AL83" s="106">
        <f>(AH83*2.5)</f>
        <v/>
      </c>
      <c r="AM83" s="107">
        <f>(AH83*N83)*0.7</f>
        <v/>
      </c>
      <c r="AN83" s="55">
        <f>(1-(AO83)/(AH83*N83))</f>
        <v/>
      </c>
      <c r="AO83" s="107">
        <f>FLOOR(AM83,100)</f>
        <v/>
      </c>
      <c r="AP83" s="36" t="inlineStr">
        <is>
          <t>Reposado</t>
        </is>
      </c>
      <c r="AQ83" s="76" t="n"/>
    </row>
    <row r="84" ht="15" customHeight="1" thickBot="1">
      <c r="A84" s="75">
        <f>(A83+1)</f>
        <v/>
      </c>
      <c r="B84" s="36" t="inlineStr">
        <is>
          <t xml:space="preserve">Asombroso Eros   </t>
        </is>
      </c>
      <c r="C84" s="36" t="n">
        <v>31265009</v>
      </c>
      <c r="D84" s="122" t="n">
        <v>0</v>
      </c>
      <c r="E84" s="122" t="n">
        <v>99.51000000000001</v>
      </c>
      <c r="F84" s="36" t="n">
        <v>0</v>
      </c>
      <c r="G84" s="36" t="n">
        <v>0</v>
      </c>
      <c r="H84" s="36" t="n">
        <v>1</v>
      </c>
      <c r="I84" s="36" t="n">
        <v>1</v>
      </c>
      <c r="J84" s="122" t="n">
        <v>102.13</v>
      </c>
      <c r="K84" s="36" t="n">
        <v>99.51000000000001</v>
      </c>
      <c r="L84" s="122">
        <f>(E84+(15%*E84))</f>
        <v/>
      </c>
      <c r="M84" s="36" t="n">
        <v>750</v>
      </c>
      <c r="N84" s="123">
        <f>(M84/29.5735)</f>
        <v/>
      </c>
      <c r="O84" s="124">
        <f>(L84/N84)</f>
        <v/>
      </c>
      <c r="P84" s="23">
        <f>($O84*P$2)</f>
        <v/>
      </c>
      <c r="Q84" s="23">
        <f>($O84*Q$2)</f>
        <v/>
      </c>
      <c r="R84" s="23">
        <f>($O84*R$2)</f>
        <v/>
      </c>
      <c r="S84" s="23">
        <f>($O84*S$2)</f>
        <v/>
      </c>
      <c r="T84" s="23">
        <f>($O84*T$2)</f>
        <v/>
      </c>
      <c r="U84" s="23">
        <f>($O84*U$2)</f>
        <v/>
      </c>
      <c r="V84" s="23">
        <f>($O84*V$2)</f>
        <v/>
      </c>
      <c r="W84" s="23">
        <f>($O84*W$2)</f>
        <v/>
      </c>
      <c r="X84" s="23">
        <f>($O84*X$2)</f>
        <v/>
      </c>
      <c r="Y84" s="23">
        <f>($O84*Y$2)</f>
        <v/>
      </c>
      <c r="Z84" s="13">
        <f>($O84*Z$2)</f>
        <v/>
      </c>
      <c r="AA84" s="23">
        <f>($O84*AA$2)</f>
        <v/>
      </c>
      <c r="AB84" s="23">
        <f>($O84*AB$2)</f>
        <v/>
      </c>
      <c r="AC84" s="23">
        <f>($O84*AC$2)</f>
        <v/>
      </c>
      <c r="AD84" s="23">
        <f>($O84*AD$2)</f>
        <v/>
      </c>
      <c r="AE84" s="23">
        <f>($O84*AE$2)</f>
        <v/>
      </c>
      <c r="AF84" s="23">
        <f>($O84*AF$2)</f>
        <v/>
      </c>
      <c r="AG84" s="94">
        <f>(AH84/O84)</f>
        <v/>
      </c>
      <c r="AH84" s="102" t="n">
        <v>32</v>
      </c>
      <c r="AI84" s="103">
        <f>(AH84*1.5)</f>
        <v/>
      </c>
      <c r="AJ84" s="104">
        <f>(AH84*2)</f>
        <v/>
      </c>
      <c r="AK84" s="119">
        <f>(AJ84+2)</f>
        <v/>
      </c>
      <c r="AL84" s="106">
        <f>(AH84*2.5)</f>
        <v/>
      </c>
      <c r="AM84" s="107">
        <f>(AH84*N84)*0.7</f>
        <v/>
      </c>
      <c r="AN84" s="55">
        <f>(1-(AO84)/(AH84*N84))</f>
        <v/>
      </c>
      <c r="AO84" s="107">
        <f>FLOOR(AM84,100)</f>
        <v/>
      </c>
      <c r="AP84" s="36" t="inlineStr">
        <is>
          <t>Reposado</t>
        </is>
      </c>
      <c r="AQ84" s="76" t="n"/>
    </row>
    <row r="85" ht="15" customHeight="1" thickBot="1">
      <c r="A85" s="75">
        <f>(A84+1)</f>
        <v/>
      </c>
      <c r="B85" s="36" t="inlineStr">
        <is>
          <t xml:space="preserve">Cazcanes   </t>
        </is>
      </c>
      <c r="C85" s="36" t="n">
        <v>1679</v>
      </c>
      <c r="D85" s="122" t="n">
        <v>0</v>
      </c>
      <c r="E85" s="122" t="n">
        <v>81.90000000000001</v>
      </c>
      <c r="F85" s="36" t="n">
        <v>0</v>
      </c>
      <c r="G85" s="36" t="n">
        <v>0</v>
      </c>
      <c r="H85" s="36" t="n">
        <v>1</v>
      </c>
      <c r="I85" s="36" t="n">
        <v>1</v>
      </c>
      <c r="J85" s="122" t="n">
        <v>81.90000000000001</v>
      </c>
      <c r="K85" s="36" t="n">
        <v>81.90000000000001</v>
      </c>
      <c r="L85" s="122">
        <f>(E85+(15%*E85))</f>
        <v/>
      </c>
      <c r="M85" s="36" t="n">
        <v>750</v>
      </c>
      <c r="N85" s="123">
        <f>(M85/29.5735)</f>
        <v/>
      </c>
      <c r="O85" s="124">
        <f>(L85/N85)</f>
        <v/>
      </c>
      <c r="P85" s="23">
        <f>($O85*P$2)</f>
        <v/>
      </c>
      <c r="Q85" s="23">
        <f>($O85*Q$2)</f>
        <v/>
      </c>
      <c r="R85" s="23">
        <f>($O85*R$2)</f>
        <v/>
      </c>
      <c r="S85" s="23">
        <f>($O85*S$2)</f>
        <v/>
      </c>
      <c r="T85" s="23">
        <f>($O85*T$2)</f>
        <v/>
      </c>
      <c r="U85" s="23">
        <f>($O85*U$2)</f>
        <v/>
      </c>
      <c r="V85" s="23">
        <f>($O85*V$2)</f>
        <v/>
      </c>
      <c r="W85" s="23">
        <f>($O85*W$2)</f>
        <v/>
      </c>
      <c r="X85" s="23">
        <f>($O85*X$2)</f>
        <v/>
      </c>
      <c r="Y85" s="23">
        <f>($O85*Y$2)</f>
        <v/>
      </c>
      <c r="Z85" s="23">
        <f>($O85*Z$2)</f>
        <v/>
      </c>
      <c r="AA85" s="13">
        <f>($O85*AA$2)</f>
        <v/>
      </c>
      <c r="AB85" s="23">
        <f>($O85*AB$2)</f>
        <v/>
      </c>
      <c r="AC85" s="23">
        <f>($O85*AC$2)</f>
        <v/>
      </c>
      <c r="AD85" s="23">
        <f>($O85*AD$2)</f>
        <v/>
      </c>
      <c r="AE85" s="23">
        <f>($O85*AE$2)</f>
        <v/>
      </c>
      <c r="AF85" s="23">
        <f>($O85*AF$2)</f>
        <v/>
      </c>
      <c r="AG85" s="94">
        <f>(AH85/O85)</f>
        <v/>
      </c>
      <c r="AH85" s="102" t="n">
        <v>29</v>
      </c>
      <c r="AI85" s="103">
        <f>(AH85*1.5)</f>
        <v/>
      </c>
      <c r="AJ85" s="104">
        <f>(AH85*2)</f>
        <v/>
      </c>
      <c r="AK85" s="119">
        <f>(AJ85+2)</f>
        <v/>
      </c>
      <c r="AL85" s="106">
        <f>(AH85*2.5)</f>
        <v/>
      </c>
      <c r="AM85" s="107">
        <f>(AH85*N85)*0.7</f>
        <v/>
      </c>
      <c r="AN85" s="55">
        <f>(1-(AO85)/(AH85*N85))</f>
        <v/>
      </c>
      <c r="AO85" s="107">
        <f>FLOOR(AM85,100)</f>
        <v/>
      </c>
      <c r="AP85" s="36" t="inlineStr">
        <is>
          <t>Reposado</t>
        </is>
      </c>
      <c r="AQ85" s="76" t="n"/>
    </row>
    <row r="86" ht="15" customHeight="1" thickBot="1">
      <c r="A86" s="75">
        <f>(A85+1)</f>
        <v/>
      </c>
      <c r="B86" s="36" t="inlineStr">
        <is>
          <t xml:space="preserve">Grand Love Ceramic Heart   </t>
        </is>
      </c>
      <c r="C86" s="36" t="n">
        <v>17796</v>
      </c>
      <c r="D86" s="122" t="n">
        <v>0</v>
      </c>
      <c r="E86" s="122" t="n">
        <v>81.7</v>
      </c>
      <c r="F86" s="36" t="n">
        <v>0</v>
      </c>
      <c r="G86" s="36" t="n">
        <v>0</v>
      </c>
      <c r="H86" s="36" t="n">
        <v>1</v>
      </c>
      <c r="I86" s="36" t="n">
        <v>1</v>
      </c>
      <c r="J86" s="122" t="n">
        <v>81.7</v>
      </c>
      <c r="K86" s="36" t="n">
        <v>81.7</v>
      </c>
      <c r="L86" s="122">
        <f>(E86+(15%*E86))</f>
        <v/>
      </c>
      <c r="M86" s="36" t="n">
        <v>750</v>
      </c>
      <c r="N86" s="123">
        <f>(M86/29.5735)</f>
        <v/>
      </c>
      <c r="O86" s="124">
        <f>(L86/N86)</f>
        <v/>
      </c>
      <c r="P86" s="23">
        <f>($O86*P$2)</f>
        <v/>
      </c>
      <c r="Q86" s="23">
        <f>($O86*Q$2)</f>
        <v/>
      </c>
      <c r="R86" s="23">
        <f>($O86*R$2)</f>
        <v/>
      </c>
      <c r="S86" s="23">
        <f>($O86*S$2)</f>
        <v/>
      </c>
      <c r="T86" s="23">
        <f>($O86*T$2)</f>
        <v/>
      </c>
      <c r="U86" s="23">
        <f>($O86*U$2)</f>
        <v/>
      </c>
      <c r="V86" s="23">
        <f>($O86*V$2)</f>
        <v/>
      </c>
      <c r="W86" s="23">
        <f>($O86*W$2)</f>
        <v/>
      </c>
      <c r="X86" s="23">
        <f>($O86*X$2)</f>
        <v/>
      </c>
      <c r="Y86" s="23">
        <f>($O86*Y$2)</f>
        <v/>
      </c>
      <c r="Z86" s="23">
        <f>($O86*Z$2)</f>
        <v/>
      </c>
      <c r="AA86" s="13">
        <f>($O86*AA$2)</f>
        <v/>
      </c>
      <c r="AB86" s="23">
        <f>($O86*AB$2)</f>
        <v/>
      </c>
      <c r="AC86" s="23">
        <f>($O86*AC$2)</f>
        <v/>
      </c>
      <c r="AD86" s="23">
        <f>($O86*AD$2)</f>
        <v/>
      </c>
      <c r="AE86" s="23">
        <f>($O86*AE$2)</f>
        <v/>
      </c>
      <c r="AF86" s="23">
        <f>($O86*AF$2)</f>
        <v/>
      </c>
      <c r="AG86" s="94">
        <f>(AH86/O86)</f>
        <v/>
      </c>
      <c r="AH86" s="102" t="n">
        <v>29</v>
      </c>
      <c r="AI86" s="103">
        <f>(AH86*1.5)</f>
        <v/>
      </c>
      <c r="AJ86" s="104">
        <f>(AH86*2)</f>
        <v/>
      </c>
      <c r="AK86" s="119">
        <f>(AJ86+2)</f>
        <v/>
      </c>
      <c r="AL86" s="106">
        <f>(AH86*2.5)</f>
        <v/>
      </c>
      <c r="AM86" s="107">
        <f>(AH86*N86)*0.7</f>
        <v/>
      </c>
      <c r="AN86" s="55">
        <f>(1-(AO86)/(AH86*N86))</f>
        <v/>
      </c>
      <c r="AO86" s="107">
        <f>FLOOR(AM86,100)</f>
        <v/>
      </c>
      <c r="AP86" s="36" t="inlineStr">
        <is>
          <t>Reposado</t>
        </is>
      </c>
      <c r="AQ86" s="76" t="n"/>
    </row>
    <row r="87" ht="15" customHeight="1" thickBot="1">
      <c r="A87" s="75">
        <f>(A86+1)</f>
        <v/>
      </c>
      <c r="B87" s="36" t="inlineStr">
        <is>
          <t xml:space="preserve">Atanasio   </t>
        </is>
      </c>
      <c r="C87" s="36" t="n">
        <v>602024</v>
      </c>
      <c r="D87" s="122" t="n">
        <v>0</v>
      </c>
      <c r="E87" s="122" t="n">
        <v>74.58</v>
      </c>
      <c r="F87" s="36" t="n">
        <v>0</v>
      </c>
      <c r="G87" s="36" t="n">
        <v>0</v>
      </c>
      <c r="H87" s="36" t="n">
        <v>1</v>
      </c>
      <c r="I87" s="36" t="n">
        <v>1</v>
      </c>
      <c r="J87" s="122" t="n">
        <v>74.58</v>
      </c>
      <c r="K87" s="36" t="n">
        <v>74.58</v>
      </c>
      <c r="L87" s="122">
        <f>(E87+(15%*E87))</f>
        <v/>
      </c>
      <c r="M87" s="36" t="n">
        <v>750</v>
      </c>
      <c r="N87" s="123">
        <f>(M87/29.5735)</f>
        <v/>
      </c>
      <c r="O87" s="124">
        <f>(L87/N87)</f>
        <v/>
      </c>
      <c r="P87" s="23">
        <f>($O87*P$2)</f>
        <v/>
      </c>
      <c r="Q87" s="23">
        <f>($O87*Q$2)</f>
        <v/>
      </c>
      <c r="R87" s="23">
        <f>($O87*R$2)</f>
        <v/>
      </c>
      <c r="S87" s="23">
        <f>($O87*S$2)</f>
        <v/>
      </c>
      <c r="T87" s="23">
        <f>($O87*T$2)</f>
        <v/>
      </c>
      <c r="U87" s="23">
        <f>($O87*U$2)</f>
        <v/>
      </c>
      <c r="V87" s="23">
        <f>($O87*V$2)</f>
        <v/>
      </c>
      <c r="W87" s="23">
        <f>($O87*W$2)</f>
        <v/>
      </c>
      <c r="X87" s="23">
        <f>($O87*X$2)</f>
        <v/>
      </c>
      <c r="Y87" s="23">
        <f>($O87*Y$2)</f>
        <v/>
      </c>
      <c r="Z87" s="23">
        <f>($O87*Z$2)</f>
        <v/>
      </c>
      <c r="AA87" s="23">
        <f>($O87*AA$2)</f>
        <v/>
      </c>
      <c r="AB87" s="23">
        <f>($O87*AB$2)</f>
        <v/>
      </c>
      <c r="AC87" s="13">
        <f>($O87*AC$2)</f>
        <v/>
      </c>
      <c r="AD87" s="23">
        <f>($O87*AD$2)</f>
        <v/>
      </c>
      <c r="AE87" s="23">
        <f>($O87*AE$2)</f>
        <v/>
      </c>
      <c r="AF87" s="23">
        <f>($O87*AF$2)</f>
        <v/>
      </c>
      <c r="AG87" s="94">
        <f>(AH87/O87)</f>
        <v/>
      </c>
      <c r="AH87" s="102" t="n">
        <v>28</v>
      </c>
      <c r="AI87" s="103">
        <f>(AH87*1.5)</f>
        <v/>
      </c>
      <c r="AJ87" s="104">
        <f>(AH87*2)</f>
        <v/>
      </c>
      <c r="AK87" s="119">
        <f>(AJ87+2)</f>
        <v/>
      </c>
      <c r="AL87" s="106">
        <f>(AH87*2.5)</f>
        <v/>
      </c>
      <c r="AM87" s="107">
        <f>(AH87*N87)*0.7</f>
        <v/>
      </c>
      <c r="AN87" s="55">
        <f>(1-(AO87)/(AH87*N87))</f>
        <v/>
      </c>
      <c r="AO87" s="107">
        <f>FLOOR(AM87,100)</f>
        <v/>
      </c>
      <c r="AP87" s="36" t="inlineStr">
        <is>
          <t>Reposado</t>
        </is>
      </c>
      <c r="AQ87" s="76" t="n"/>
    </row>
    <row r="88" ht="15" customHeight="1" thickBot="1">
      <c r="A88" s="75">
        <f>(A87+1)</f>
        <v/>
      </c>
      <c r="B88" s="36" t="inlineStr">
        <is>
          <t xml:space="preserve">Grand Love Red Heart   </t>
        </is>
      </c>
      <c r="C88" s="36" t="n">
        <v>90008370</v>
      </c>
      <c r="D88" s="122" t="n">
        <v>0</v>
      </c>
      <c r="E88" s="122" t="n">
        <v>73.53</v>
      </c>
      <c r="F88" s="36" t="n">
        <v>0</v>
      </c>
      <c r="G88" s="36" t="n">
        <v>0</v>
      </c>
      <c r="H88" s="36" t="n">
        <v>1</v>
      </c>
      <c r="I88" s="36" t="n">
        <v>1</v>
      </c>
      <c r="J88" s="122" t="n">
        <v>73.53</v>
      </c>
      <c r="K88" s="36" t="n">
        <v>73.53</v>
      </c>
      <c r="L88" s="122">
        <f>(E88+(15%*E88))</f>
        <v/>
      </c>
      <c r="M88" s="36" t="n">
        <v>750</v>
      </c>
      <c r="N88" s="123">
        <f>(M88/29.5735)</f>
        <v/>
      </c>
      <c r="O88" s="124">
        <f>(L88/N88)</f>
        <v/>
      </c>
      <c r="P88" s="23">
        <f>($O88*P$2)</f>
        <v/>
      </c>
      <c r="Q88" s="23">
        <f>($O88*Q$2)</f>
        <v/>
      </c>
      <c r="R88" s="23">
        <f>($O88*R$2)</f>
        <v/>
      </c>
      <c r="S88" s="23">
        <f>($O88*S$2)</f>
        <v/>
      </c>
      <c r="T88" s="23">
        <f>($O88*T$2)</f>
        <v/>
      </c>
      <c r="U88" s="23">
        <f>($O88*U$2)</f>
        <v/>
      </c>
      <c r="V88" s="23">
        <f>($O88*V$2)</f>
        <v/>
      </c>
      <c r="W88" s="23">
        <f>($O88*W$2)</f>
        <v/>
      </c>
      <c r="X88" s="23">
        <f>($O88*X$2)</f>
        <v/>
      </c>
      <c r="Y88" s="23">
        <f>($O88*Y$2)</f>
        <v/>
      </c>
      <c r="Z88" s="23">
        <f>($O88*Z$2)</f>
        <v/>
      </c>
      <c r="AA88" s="23">
        <f>($O88*AA$2)</f>
        <v/>
      </c>
      <c r="AB88" s="23">
        <f>($O88*AB$2)</f>
        <v/>
      </c>
      <c r="AC88" s="13">
        <f>($O88*AC$2)</f>
        <v/>
      </c>
      <c r="AD88" s="23">
        <f>($O88*AD$2)</f>
        <v/>
      </c>
      <c r="AE88" s="23">
        <f>($O88*AE$2)</f>
        <v/>
      </c>
      <c r="AF88" s="23">
        <f>($O88*AF$2)</f>
        <v/>
      </c>
      <c r="AG88" s="94">
        <f>(AH88/O88)</f>
        <v/>
      </c>
      <c r="AH88" s="102" t="n">
        <v>28</v>
      </c>
      <c r="AI88" s="103">
        <f>(AH88*1.5)</f>
        <v/>
      </c>
      <c r="AJ88" s="104">
        <f>(AH88*2)</f>
        <v/>
      </c>
      <c r="AK88" s="119">
        <f>(AJ88+2)</f>
        <v/>
      </c>
      <c r="AL88" s="106">
        <f>(AH88*2.5)</f>
        <v/>
      </c>
      <c r="AM88" s="107">
        <f>(AH88*N88)*0.7</f>
        <v/>
      </c>
      <c r="AN88" s="55">
        <f>(1-(AO88)/(AH88*N88))</f>
        <v/>
      </c>
      <c r="AO88" s="107">
        <f>FLOOR(AM88,100)</f>
        <v/>
      </c>
      <c r="AP88" s="36" t="inlineStr">
        <is>
          <t>Reposado</t>
        </is>
      </c>
      <c r="AQ88" s="76" t="n"/>
    </row>
    <row r="89" ht="15" customHeight="1" thickBot="1">
      <c r="A89" s="75">
        <f>(A88+1)</f>
        <v/>
      </c>
      <c r="B89" s="36" t="inlineStr">
        <is>
          <t xml:space="preserve">Grand Mayan   </t>
        </is>
      </c>
      <c r="C89" s="36" t="n">
        <v>53105370</v>
      </c>
      <c r="D89" s="122" t="n">
        <v>0</v>
      </c>
      <c r="E89" s="122" t="n">
        <v>73.53</v>
      </c>
      <c r="F89" s="36" t="n">
        <v>0</v>
      </c>
      <c r="G89" s="36" t="n">
        <v>0</v>
      </c>
      <c r="H89" s="36" t="n">
        <v>1</v>
      </c>
      <c r="I89" s="36" t="n">
        <v>1</v>
      </c>
      <c r="J89" s="122" t="n">
        <v>73.53</v>
      </c>
      <c r="K89" s="36" t="n">
        <v>73.53</v>
      </c>
      <c r="L89" s="122">
        <f>(E89+(15%*E89))</f>
        <v/>
      </c>
      <c r="M89" s="36" t="n">
        <v>750</v>
      </c>
      <c r="N89" s="123">
        <f>(M89/29.5735)</f>
        <v/>
      </c>
      <c r="O89" s="124">
        <f>(L89/N89)</f>
        <v/>
      </c>
      <c r="P89" s="23">
        <f>($O89*P$2)</f>
        <v/>
      </c>
      <c r="Q89" s="23">
        <f>($O89*Q$2)</f>
        <v/>
      </c>
      <c r="R89" s="23">
        <f>($O89*R$2)</f>
        <v/>
      </c>
      <c r="S89" s="23">
        <f>($O89*S$2)</f>
        <v/>
      </c>
      <c r="T89" s="23">
        <f>($O89*T$2)</f>
        <v/>
      </c>
      <c r="U89" s="23">
        <f>($O89*U$2)</f>
        <v/>
      </c>
      <c r="V89" s="23">
        <f>($O89*V$2)</f>
        <v/>
      </c>
      <c r="W89" s="23">
        <f>($O89*W$2)</f>
        <v/>
      </c>
      <c r="X89" s="23">
        <f>($O89*X$2)</f>
        <v/>
      </c>
      <c r="Y89" s="23">
        <f>($O89*Y$2)</f>
        <v/>
      </c>
      <c r="Z89" s="23">
        <f>($O89*Z$2)</f>
        <v/>
      </c>
      <c r="AA89" s="23">
        <f>($O89*AA$2)</f>
        <v/>
      </c>
      <c r="AB89" s="23">
        <f>($O89*AB$2)</f>
        <v/>
      </c>
      <c r="AC89" s="23">
        <f>($O89*AC$2)</f>
        <v/>
      </c>
      <c r="AD89" s="13">
        <f>($O89*AD$2)</f>
        <v/>
      </c>
      <c r="AE89" s="23">
        <f>($O89*AE$2)</f>
        <v/>
      </c>
      <c r="AF89" s="23">
        <f>($O89*AF$2)</f>
        <v/>
      </c>
      <c r="AG89" s="94">
        <f>(AH89/O89)</f>
        <v/>
      </c>
      <c r="AH89" s="102" t="n">
        <v>28</v>
      </c>
      <c r="AI89" s="103">
        <f>(AH89*1.5)</f>
        <v/>
      </c>
      <c r="AJ89" s="104">
        <f>(AH89*2)</f>
        <v/>
      </c>
      <c r="AK89" s="119">
        <f>(AJ89+2)</f>
        <v/>
      </c>
      <c r="AL89" s="106">
        <f>(AH89*2.5)</f>
        <v/>
      </c>
      <c r="AM89" s="107">
        <f>(AH89*N89)*0.7</f>
        <v/>
      </c>
      <c r="AN89" s="55">
        <f>(1-(AO89)/(AH89*N89))</f>
        <v/>
      </c>
      <c r="AO89" s="107">
        <f>FLOOR(AM89,100)</f>
        <v/>
      </c>
      <c r="AP89" s="36" t="inlineStr">
        <is>
          <t>Reposado</t>
        </is>
      </c>
      <c r="AQ89" s="76" t="n"/>
    </row>
    <row r="90" ht="15" customHeight="1" thickBot="1">
      <c r="A90" s="75">
        <f>(A89+1)</f>
        <v/>
      </c>
      <c r="B90" s="36" t="inlineStr">
        <is>
          <t xml:space="preserve">Reserva de la Familia   </t>
        </is>
      </c>
      <c r="C90" s="36" t="n">
        <v>24896009</v>
      </c>
      <c r="D90" s="122" t="n">
        <v>0</v>
      </c>
      <c r="E90" s="122" t="n">
        <v>72.08</v>
      </c>
      <c r="F90" s="36" t="n">
        <v>0</v>
      </c>
      <c r="G90" s="36" t="n">
        <v>0</v>
      </c>
      <c r="H90" s="36" t="n">
        <v>1</v>
      </c>
      <c r="I90" s="36" t="n">
        <v>1</v>
      </c>
      <c r="J90" s="122" t="n">
        <v>72.08</v>
      </c>
      <c r="K90" s="36" t="n">
        <v>72.08</v>
      </c>
      <c r="L90" s="122">
        <f>(E90+(15%*E90))</f>
        <v/>
      </c>
      <c r="M90" s="36" t="n">
        <v>750</v>
      </c>
      <c r="N90" s="123">
        <f>(M90/29.5735)</f>
        <v/>
      </c>
      <c r="O90" s="124">
        <f>(L90/N90)</f>
        <v/>
      </c>
      <c r="P90" s="23">
        <f>($O90*P$2)</f>
        <v/>
      </c>
      <c r="Q90" s="23">
        <f>($O90*Q$2)</f>
        <v/>
      </c>
      <c r="R90" s="23">
        <f>($O90*R$2)</f>
        <v/>
      </c>
      <c r="S90" s="23">
        <f>($O90*S$2)</f>
        <v/>
      </c>
      <c r="T90" s="23">
        <f>($O90*T$2)</f>
        <v/>
      </c>
      <c r="U90" s="23">
        <f>($O90*U$2)</f>
        <v/>
      </c>
      <c r="V90" s="23">
        <f>($O90*V$2)</f>
        <v/>
      </c>
      <c r="W90" s="23">
        <f>($O90*W$2)</f>
        <v/>
      </c>
      <c r="X90" s="23">
        <f>($O90*X$2)</f>
        <v/>
      </c>
      <c r="Y90" s="23">
        <f>($O90*Y$2)</f>
        <v/>
      </c>
      <c r="Z90" s="23">
        <f>($O90*Z$2)</f>
        <v/>
      </c>
      <c r="AA90" s="23">
        <f>($O90*AA$2)</f>
        <v/>
      </c>
      <c r="AB90" s="23">
        <f>($O90*AB$2)</f>
        <v/>
      </c>
      <c r="AC90" s="23">
        <f>($O90*AC$2)</f>
        <v/>
      </c>
      <c r="AD90" s="13">
        <f>($O90*AD$2)</f>
        <v/>
      </c>
      <c r="AE90" s="23">
        <f>($O90*AE$2)</f>
        <v/>
      </c>
      <c r="AF90" s="23">
        <f>($O90*AF$2)</f>
        <v/>
      </c>
      <c r="AG90" s="94">
        <f>(AH90/O90)</f>
        <v/>
      </c>
      <c r="AH90" s="102" t="n">
        <v>27</v>
      </c>
      <c r="AI90" s="103">
        <f>(AH90*1.5)</f>
        <v/>
      </c>
      <c r="AJ90" s="104">
        <f>(AH90*2)</f>
        <v/>
      </c>
      <c r="AK90" s="119">
        <f>(AJ90+2)</f>
        <v/>
      </c>
      <c r="AL90" s="106">
        <f>(AH90*2.5)</f>
        <v/>
      </c>
      <c r="AM90" s="107">
        <f>(AH90*N90)*0.7</f>
        <v/>
      </c>
      <c r="AN90" s="55">
        <f>(1-(AO90)/(AH90*N90))</f>
        <v/>
      </c>
      <c r="AO90" s="107">
        <f>FLOOR(AM90,100)</f>
        <v/>
      </c>
      <c r="AP90" s="36" t="inlineStr">
        <is>
          <t>Reposado</t>
        </is>
      </c>
      <c r="AQ90" s="76" t="n"/>
    </row>
    <row r="91" ht="15" customHeight="1" thickBot="1">
      <c r="A91" s="75">
        <f>(A90+1)</f>
        <v/>
      </c>
      <c r="B91" s="36" t="inlineStr">
        <is>
          <t xml:space="preserve">Amatitena   </t>
        </is>
      </c>
      <c r="C91" s="36" t="n">
        <v>400423</v>
      </c>
      <c r="D91" s="122" t="n">
        <v>0</v>
      </c>
      <c r="E91" s="122" t="n">
        <v>65.09999999999999</v>
      </c>
      <c r="F91" s="36" t="n">
        <v>0</v>
      </c>
      <c r="G91" s="36" t="n">
        <v>0</v>
      </c>
      <c r="H91" s="36" t="n">
        <v>1</v>
      </c>
      <c r="I91" s="36" t="n">
        <v>1</v>
      </c>
      <c r="J91" s="122" t="n">
        <v>67.2</v>
      </c>
      <c r="K91" s="36" t="n">
        <v>65.09999999999999</v>
      </c>
      <c r="L91" s="122">
        <f>(E91+(15%*E91))</f>
        <v/>
      </c>
      <c r="M91" s="36" t="n">
        <v>750</v>
      </c>
      <c r="N91" s="123">
        <f>(M91/29.5735)</f>
        <v/>
      </c>
      <c r="O91" s="124">
        <f>(L91/N91)</f>
        <v/>
      </c>
      <c r="P91" s="23">
        <f>($O91*P$2)</f>
        <v/>
      </c>
      <c r="Q91" s="23">
        <f>($O91*Q$2)</f>
        <v/>
      </c>
      <c r="R91" s="23">
        <f>($O91*R$2)</f>
        <v/>
      </c>
      <c r="S91" s="23">
        <f>($O91*S$2)</f>
        <v/>
      </c>
      <c r="T91" s="23">
        <f>($O91*T$2)</f>
        <v/>
      </c>
      <c r="U91" s="23">
        <f>($O91*U$2)</f>
        <v/>
      </c>
      <c r="V91" s="23">
        <f>($O91*V$2)</f>
        <v/>
      </c>
      <c r="W91" s="23">
        <f>($O91*W$2)</f>
        <v/>
      </c>
      <c r="X91" s="23">
        <f>($O91*X$2)</f>
        <v/>
      </c>
      <c r="Y91" s="23">
        <f>($O91*Y$2)</f>
        <v/>
      </c>
      <c r="Z91" s="23">
        <f>($O91*Z$2)</f>
        <v/>
      </c>
      <c r="AA91" s="23">
        <f>($O91*AA$2)</f>
        <v/>
      </c>
      <c r="AB91" s="23">
        <f>($O91*AB$2)</f>
        <v/>
      </c>
      <c r="AC91" s="23">
        <f>($O91*AC$2)</f>
        <v/>
      </c>
      <c r="AD91" s="23">
        <f>($O91*AD$2)</f>
        <v/>
      </c>
      <c r="AE91" s="13">
        <f>($O91*AE$2)</f>
        <v/>
      </c>
      <c r="AF91" s="23">
        <f>($O91*AF$2)</f>
        <v/>
      </c>
      <c r="AG91" s="94">
        <f>(AH91/O91)</f>
        <v/>
      </c>
      <c r="AH91" s="102" t="n">
        <v>27</v>
      </c>
      <c r="AI91" s="103">
        <f>(AH91*1.5)</f>
        <v/>
      </c>
      <c r="AJ91" s="104">
        <f>(AH91*2)</f>
        <v/>
      </c>
      <c r="AK91" s="119">
        <f>(AJ91+2)</f>
        <v/>
      </c>
      <c r="AL91" s="106">
        <f>(AH91*2.5)</f>
        <v/>
      </c>
      <c r="AM91" s="107">
        <f>(AH91*N91)*0.7</f>
        <v/>
      </c>
      <c r="AN91" s="55">
        <f>(1-(AO91)/(AH91*N91))</f>
        <v/>
      </c>
      <c r="AO91" s="107">
        <f>FLOOR(AM91,100)</f>
        <v/>
      </c>
      <c r="AP91" s="36" t="inlineStr">
        <is>
          <t>Reposado</t>
        </is>
      </c>
      <c r="AQ91" s="76" t="n"/>
    </row>
    <row r="92" ht="15" customHeight="1" thickBot="1">
      <c r="A92" s="75">
        <f>(A91+1)</f>
        <v/>
      </c>
      <c r="B92" s="36" t="inlineStr">
        <is>
          <t xml:space="preserve">El Tesoro   </t>
        </is>
      </c>
      <c r="C92" s="36" t="n">
        <v>911824</v>
      </c>
      <c r="D92" s="122" t="n">
        <v>0</v>
      </c>
      <c r="E92" s="122" t="n">
        <v>56.98</v>
      </c>
      <c r="F92" s="36" t="n">
        <v>0</v>
      </c>
      <c r="G92" s="36" t="n">
        <v>0</v>
      </c>
      <c r="H92" s="36" t="n">
        <v>2</v>
      </c>
      <c r="I92" s="36" t="n">
        <v>2</v>
      </c>
      <c r="J92" s="122" t="n">
        <v>119.22</v>
      </c>
      <c r="K92" s="36" t="n">
        <v>113.96</v>
      </c>
      <c r="L92" s="122">
        <f>(E92+(15%*E92))</f>
        <v/>
      </c>
      <c r="M92" s="36" t="n">
        <v>750</v>
      </c>
      <c r="N92" s="123">
        <f>(M92/29.5735)</f>
        <v/>
      </c>
      <c r="O92" s="124">
        <f>(L92/N92)</f>
        <v/>
      </c>
      <c r="P92" s="23">
        <f>($O92*P$2)</f>
        <v/>
      </c>
      <c r="Q92" s="23">
        <f>($O92*Q$2)</f>
        <v/>
      </c>
      <c r="R92" s="23">
        <f>($O92*R$2)</f>
        <v/>
      </c>
      <c r="S92" s="23">
        <f>($O92*S$2)</f>
        <v/>
      </c>
      <c r="T92" s="23">
        <f>($O92*T$2)</f>
        <v/>
      </c>
      <c r="U92" s="23">
        <f>($O92*U$2)</f>
        <v/>
      </c>
      <c r="V92" s="23">
        <f>($O92*V$2)</f>
        <v/>
      </c>
      <c r="W92" s="23">
        <f>($O92*W$2)</f>
        <v/>
      </c>
      <c r="X92" s="23">
        <f>($O92*X$2)</f>
        <v/>
      </c>
      <c r="Y92" s="23">
        <f>($O92*Y$2)</f>
        <v/>
      </c>
      <c r="Z92" s="23">
        <f>($O92*Z$2)</f>
        <v/>
      </c>
      <c r="AA92" s="23">
        <f>($O92*AA$2)</f>
        <v/>
      </c>
      <c r="AB92" s="23">
        <f>($O92*AB$2)</f>
        <v/>
      </c>
      <c r="AC92" s="23">
        <f>($O92*AC$2)</f>
        <v/>
      </c>
      <c r="AD92" s="23">
        <f>($O92*AD$2)</f>
        <v/>
      </c>
      <c r="AE92" s="23">
        <f>($O92*AE$2)</f>
        <v/>
      </c>
      <c r="AF92" s="13">
        <f>($O92*AF$2)</f>
        <v/>
      </c>
      <c r="AG92" s="94">
        <f>(AH92/O92)</f>
        <v/>
      </c>
      <c r="AH92" s="102">
        <f>(O92*10)</f>
        <v/>
      </c>
      <c r="AI92" s="103">
        <f>(AH92*1.5)</f>
        <v/>
      </c>
      <c r="AJ92" s="104">
        <f>(AH92*2)</f>
        <v/>
      </c>
      <c r="AK92" s="119">
        <f>(AJ92+2)</f>
        <v/>
      </c>
      <c r="AL92" s="106">
        <f>(AH92*2.5)</f>
        <v/>
      </c>
      <c r="AM92" s="107">
        <f>(AH92*N92)*0.7</f>
        <v/>
      </c>
      <c r="AN92" s="55">
        <f>(1-(AO92)/(AH92*N92))</f>
        <v/>
      </c>
      <c r="AO92" s="107">
        <f>FLOOR(AM92,100)</f>
        <v/>
      </c>
      <c r="AP92" s="36" t="inlineStr">
        <is>
          <t>Reposado</t>
        </is>
      </c>
      <c r="AQ92" s="76" t="n"/>
    </row>
    <row r="93" ht="15" customHeight="1" thickBot="1">
      <c r="A93" s="75">
        <f>(A92+1)</f>
        <v/>
      </c>
      <c r="B93" s="36" t="inlineStr">
        <is>
          <t xml:space="preserve">Excellia   </t>
        </is>
      </c>
      <c r="C93" s="36" t="n">
        <v>400246</v>
      </c>
      <c r="D93" s="122" t="n">
        <v>0</v>
      </c>
      <c r="E93" s="122" t="n">
        <v>55.65</v>
      </c>
      <c r="F93" s="36" t="n">
        <v>0</v>
      </c>
      <c r="G93" s="36" t="n">
        <v>0</v>
      </c>
      <c r="H93" s="36" t="n">
        <v>1</v>
      </c>
      <c r="I93" s="36" t="n">
        <v>1</v>
      </c>
      <c r="J93" s="122" t="n">
        <v>57.75</v>
      </c>
      <c r="K93" s="36" t="n">
        <v>55.65</v>
      </c>
      <c r="L93" s="122">
        <f>(E93+(15%*E93))</f>
        <v/>
      </c>
      <c r="M93" s="36" t="n">
        <v>750</v>
      </c>
      <c r="N93" s="123">
        <f>(M93/29.5735)</f>
        <v/>
      </c>
      <c r="O93" s="124">
        <f>(L93/N93)</f>
        <v/>
      </c>
      <c r="P93" s="23">
        <f>($O93*P$2)</f>
        <v/>
      </c>
      <c r="Q93" s="23">
        <f>($O93*Q$2)</f>
        <v/>
      </c>
      <c r="R93" s="23">
        <f>($O93*R$2)</f>
        <v/>
      </c>
      <c r="S93" s="23">
        <f>($O93*S$2)</f>
        <v/>
      </c>
      <c r="T93" s="23">
        <f>($O93*T$2)</f>
        <v/>
      </c>
      <c r="U93" s="23">
        <f>($O93*U$2)</f>
        <v/>
      </c>
      <c r="V93" s="23">
        <f>($O93*V$2)</f>
        <v/>
      </c>
      <c r="W93" s="23">
        <f>($O93*W$2)</f>
        <v/>
      </c>
      <c r="X93" s="23">
        <f>($O93*X$2)</f>
        <v/>
      </c>
      <c r="Y93" s="23">
        <f>($O93*Y$2)</f>
        <v/>
      </c>
      <c r="Z93" s="23">
        <f>($O93*Z$2)</f>
        <v/>
      </c>
      <c r="AA93" s="23">
        <f>($O93*AA$2)</f>
        <v/>
      </c>
      <c r="AB93" s="23">
        <f>($O93*AB$2)</f>
        <v/>
      </c>
      <c r="AC93" s="23">
        <f>($O93*AC$2)</f>
        <v/>
      </c>
      <c r="AD93" s="23">
        <f>($O93*AD$2)</f>
        <v/>
      </c>
      <c r="AE93" s="23">
        <f>($O93*AE$2)</f>
        <v/>
      </c>
      <c r="AF93" s="13">
        <f>($O93*AF$2)</f>
        <v/>
      </c>
      <c r="AG93" s="94">
        <f>(AH93/O93)</f>
        <v/>
      </c>
      <c r="AH93" s="102" t="n">
        <v>26</v>
      </c>
      <c r="AI93" s="103">
        <f>(AH93*1.5)</f>
        <v/>
      </c>
      <c r="AJ93" s="104">
        <f>(AH93*2)</f>
        <v/>
      </c>
      <c r="AK93" s="119">
        <f>(AJ93+2)</f>
        <v/>
      </c>
      <c r="AL93" s="106">
        <f>(AH93*2.5)</f>
        <v/>
      </c>
      <c r="AM93" s="107">
        <f>(AH93*N93)*0.7</f>
        <v/>
      </c>
      <c r="AN93" s="55">
        <f>(1-(AO93)/(AH93*N93))</f>
        <v/>
      </c>
      <c r="AO93" s="107">
        <f>FLOOR(AM93,100)</f>
        <v/>
      </c>
      <c r="AP93" s="36" t="inlineStr">
        <is>
          <t>Reposado</t>
        </is>
      </c>
      <c r="AQ93" s="76" t="n"/>
    </row>
    <row r="94" ht="15" customHeight="1" thickBot="1">
      <c r="A94" s="75">
        <f>(A93+1)</f>
        <v/>
      </c>
      <c r="B94" s="36" t="inlineStr">
        <is>
          <t xml:space="preserve"> Ocho Widow Jane Finish  </t>
        </is>
      </c>
      <c r="C94" s="36" t="n">
        <v>400341</v>
      </c>
      <c r="D94" s="122" t="n">
        <v>0</v>
      </c>
      <c r="E94" s="122" t="n">
        <v>57.75</v>
      </c>
      <c r="F94" s="36" t="n">
        <v>0</v>
      </c>
      <c r="G94" s="36" t="n">
        <v>0</v>
      </c>
      <c r="H94" s="36" t="n">
        <v>1</v>
      </c>
      <c r="I94" s="36" t="n">
        <v>1</v>
      </c>
      <c r="J94" s="122" t="n">
        <v>57.75</v>
      </c>
      <c r="K94" s="36" t="n">
        <v>57.75</v>
      </c>
      <c r="L94" s="122">
        <f>(E94+(15%*E94))</f>
        <v/>
      </c>
      <c r="M94" s="36" t="n">
        <v>750</v>
      </c>
      <c r="N94" s="123">
        <f>(M94/29.5735)</f>
        <v/>
      </c>
      <c r="O94" s="124">
        <f>(L94/N94)</f>
        <v/>
      </c>
      <c r="P94" s="23">
        <f>($O94*P$2)</f>
        <v/>
      </c>
      <c r="Q94" s="23">
        <f>($O94*Q$2)</f>
        <v/>
      </c>
      <c r="R94" s="23">
        <f>($O94*R$2)</f>
        <v/>
      </c>
      <c r="S94" s="23">
        <f>($O94*S$2)</f>
        <v/>
      </c>
      <c r="T94" s="23">
        <f>($O94*T$2)</f>
        <v/>
      </c>
      <c r="U94" s="23">
        <f>($O94*U$2)</f>
        <v/>
      </c>
      <c r="V94" s="23">
        <f>($O94*V$2)</f>
        <v/>
      </c>
      <c r="W94" s="23">
        <f>($O94*W$2)</f>
        <v/>
      </c>
      <c r="X94" s="23">
        <f>($O94*X$2)</f>
        <v/>
      </c>
      <c r="Y94" s="23">
        <f>($O94*Y$2)</f>
        <v/>
      </c>
      <c r="Z94" s="23">
        <f>($O94*Z$2)</f>
        <v/>
      </c>
      <c r="AA94" s="23">
        <f>($O94*AA$2)</f>
        <v/>
      </c>
      <c r="AB94" s="23">
        <f>($O94*AB$2)</f>
        <v/>
      </c>
      <c r="AC94" s="23">
        <f>($O94*AC$2)</f>
        <v/>
      </c>
      <c r="AD94" s="23">
        <f>($O94*AD$2)</f>
        <v/>
      </c>
      <c r="AE94" s="23">
        <f>($O94*AE$2)</f>
        <v/>
      </c>
      <c r="AF94" s="13">
        <f>($O94*AF$2)</f>
        <v/>
      </c>
      <c r="AG94" s="94">
        <f>(AH94/O94)</f>
        <v/>
      </c>
      <c r="AH94" s="102">
        <f>(O94*10)</f>
        <v/>
      </c>
      <c r="AI94" s="103">
        <f>(AH94*1.5)</f>
        <v/>
      </c>
      <c r="AJ94" s="104">
        <f>(AH94*2)</f>
        <v/>
      </c>
      <c r="AK94" s="119">
        <f>(AJ94+2)</f>
        <v/>
      </c>
      <c r="AL94" s="106">
        <f>(AH94*2.5)</f>
        <v/>
      </c>
      <c r="AM94" s="107">
        <f>(AH94*N94)*0.7</f>
        <v/>
      </c>
      <c r="AN94" s="55">
        <f>(1-(AO94)/(AH94*N94))</f>
        <v/>
      </c>
      <c r="AO94" s="107">
        <f>FLOOR(AM94,100)</f>
        <v/>
      </c>
      <c r="AP94" s="36" t="inlineStr">
        <is>
          <t>Reposado</t>
        </is>
      </c>
      <c r="AQ94" s="76" t="n"/>
    </row>
    <row r="95" ht="15" customHeight="1" thickBot="1">
      <c r="A95" s="75">
        <f>(A94+1)</f>
        <v/>
      </c>
      <c r="B95" s="36" t="inlineStr">
        <is>
          <t xml:space="preserve">Nueveuno Organic   </t>
        </is>
      </c>
      <c r="C95" s="36" t="n">
        <v>30329009</v>
      </c>
      <c r="D95" s="122" t="n">
        <v>0</v>
      </c>
      <c r="E95" s="122" t="n">
        <v>55.1</v>
      </c>
      <c r="F95" s="36" t="n">
        <v>0</v>
      </c>
      <c r="G95" s="36" t="n">
        <v>0</v>
      </c>
      <c r="H95" s="36" t="n">
        <v>1</v>
      </c>
      <c r="I95" s="36" t="n">
        <v>1</v>
      </c>
      <c r="J95" s="122" t="n">
        <v>57.73</v>
      </c>
      <c r="K95" s="36" t="n">
        <v>55.1</v>
      </c>
      <c r="L95" s="122">
        <f>(E95+(15%*E95))</f>
        <v/>
      </c>
      <c r="M95" s="36" t="n">
        <v>750</v>
      </c>
      <c r="N95" s="123">
        <f>(M95/29.5735)</f>
        <v/>
      </c>
      <c r="O95" s="124">
        <f>(L95/N95)</f>
        <v/>
      </c>
      <c r="P95" s="23">
        <f>($O95*P$2)</f>
        <v/>
      </c>
      <c r="Q95" s="23">
        <f>($O95*Q$2)</f>
        <v/>
      </c>
      <c r="R95" s="23">
        <f>($O95*R$2)</f>
        <v/>
      </c>
      <c r="S95" s="23">
        <f>($O95*S$2)</f>
        <v/>
      </c>
      <c r="T95" s="23">
        <f>($O95*T$2)</f>
        <v/>
      </c>
      <c r="U95" s="23">
        <f>($O95*U$2)</f>
        <v/>
      </c>
      <c r="V95" s="23">
        <f>($O95*V$2)</f>
        <v/>
      </c>
      <c r="W95" s="23">
        <f>($O95*W$2)</f>
        <v/>
      </c>
      <c r="X95" s="23">
        <f>($O95*X$2)</f>
        <v/>
      </c>
      <c r="Y95" s="23">
        <f>($O95*Y$2)</f>
        <v/>
      </c>
      <c r="Z95" s="23">
        <f>($O95*Z$2)</f>
        <v/>
      </c>
      <c r="AA95" s="23">
        <f>($O95*AA$2)</f>
        <v/>
      </c>
      <c r="AB95" s="23">
        <f>($O95*AB$2)</f>
        <v/>
      </c>
      <c r="AC95" s="23">
        <f>($O95*AC$2)</f>
        <v/>
      </c>
      <c r="AD95" s="23">
        <f>($O95*AD$2)</f>
        <v/>
      </c>
      <c r="AE95" s="23">
        <f>($O95*AE$2)</f>
        <v/>
      </c>
      <c r="AF95" s="13">
        <f>($O95*AF$2)</f>
        <v/>
      </c>
      <c r="AG95" s="94">
        <f>(AH95/O95)</f>
        <v/>
      </c>
      <c r="AH95" s="102" t="n">
        <v>26</v>
      </c>
      <c r="AI95" s="103">
        <f>(AH95*1.5)</f>
        <v/>
      </c>
      <c r="AJ95" s="104">
        <f>(AH95*2)</f>
        <v/>
      </c>
      <c r="AK95" s="119">
        <f>(AJ95+2)</f>
        <v/>
      </c>
      <c r="AL95" s="106">
        <f>(AH95*2.5)</f>
        <v/>
      </c>
      <c r="AM95" s="107">
        <f>(AH95*N95)*0.7</f>
        <v/>
      </c>
      <c r="AN95" s="55">
        <f>(1-(AO95)/(AH95*N95))</f>
        <v/>
      </c>
      <c r="AO95" s="107">
        <f>FLOOR(AM95,100)</f>
        <v/>
      </c>
      <c r="AP95" s="36" t="inlineStr">
        <is>
          <t>Reposado</t>
        </is>
      </c>
      <c r="AQ95" s="76" t="n"/>
    </row>
    <row r="96" ht="15" customHeight="1" thickBot="1">
      <c r="A96" s="75">
        <f>(A95+1)</f>
        <v/>
      </c>
      <c r="B96" s="36" t="inlineStr">
        <is>
          <t xml:space="preserve">Alma del Jaguar   </t>
        </is>
      </c>
      <c r="C96" s="36" t="n">
        <v>400448</v>
      </c>
      <c r="D96" s="122" t="n">
        <v>0</v>
      </c>
      <c r="E96" s="122" t="n">
        <v>52.24</v>
      </c>
      <c r="F96" s="36" t="n">
        <v>0</v>
      </c>
      <c r="G96" s="36" t="n">
        <v>0</v>
      </c>
      <c r="H96" s="36" t="n">
        <v>1</v>
      </c>
      <c r="I96" s="36" t="n">
        <v>1</v>
      </c>
      <c r="J96" s="122" t="n">
        <v>54.34</v>
      </c>
      <c r="K96" s="36" t="n">
        <v>52.24</v>
      </c>
      <c r="L96" s="122">
        <f>(E96+(15%*E96))</f>
        <v/>
      </c>
      <c r="M96" s="36" t="n">
        <v>750</v>
      </c>
      <c r="N96" s="123">
        <f>(M96/29.5735)</f>
        <v/>
      </c>
      <c r="O96" s="124">
        <f>(L96/N96)</f>
        <v/>
      </c>
      <c r="P96" s="23">
        <f>($O96*P$2)</f>
        <v/>
      </c>
      <c r="Q96" s="23">
        <f>($O96*Q$2)</f>
        <v/>
      </c>
      <c r="R96" s="23">
        <f>($O96*R$2)</f>
        <v/>
      </c>
      <c r="S96" s="23">
        <f>($O96*S$2)</f>
        <v/>
      </c>
      <c r="T96" s="23">
        <f>($O96*T$2)</f>
        <v/>
      </c>
      <c r="U96" s="23">
        <f>($O96*U$2)</f>
        <v/>
      </c>
      <c r="V96" s="23">
        <f>($O96*V$2)</f>
        <v/>
      </c>
      <c r="W96" s="23">
        <f>($O96*W$2)</f>
        <v/>
      </c>
      <c r="X96" s="23">
        <f>($O96*X$2)</f>
        <v/>
      </c>
      <c r="Y96" s="23">
        <f>($O96*Y$2)</f>
        <v/>
      </c>
      <c r="Z96" s="23">
        <f>($O96*Z$2)</f>
        <v/>
      </c>
      <c r="AA96" s="23">
        <f>($O96*AA$2)</f>
        <v/>
      </c>
      <c r="AB96" s="23">
        <f>($O96*AB$2)</f>
        <v/>
      </c>
      <c r="AC96" s="23">
        <f>($O96*AC$2)</f>
        <v/>
      </c>
      <c r="AD96" s="23">
        <f>($O96*AD$2)</f>
        <v/>
      </c>
      <c r="AE96" s="23">
        <f>($O96*AE$2)</f>
        <v/>
      </c>
      <c r="AF96" s="13">
        <f>($O96*AF$2)</f>
        <v/>
      </c>
      <c r="AG96" s="94">
        <f>(AH96/O96)</f>
        <v/>
      </c>
      <c r="AH96" s="102">
        <f>(O96*10)</f>
        <v/>
      </c>
      <c r="AI96" s="103">
        <f>(AH96*1.5)</f>
        <v/>
      </c>
      <c r="AJ96" s="104">
        <f>(AH96*2)</f>
        <v/>
      </c>
      <c r="AK96" s="119">
        <f>(AJ96+2)</f>
        <v/>
      </c>
      <c r="AL96" s="106">
        <f>(AH96*2.5)</f>
        <v/>
      </c>
      <c r="AM96" s="107">
        <f>(AH96*N96)*0.7</f>
        <v/>
      </c>
      <c r="AN96" s="55">
        <f>(1-(AO96)/(AH96*N96))</f>
        <v/>
      </c>
      <c r="AO96" s="107">
        <f>FLOOR(AM96,100)</f>
        <v/>
      </c>
      <c r="AP96" s="36" t="inlineStr">
        <is>
          <t>Reposado</t>
        </is>
      </c>
      <c r="AQ96" s="76" t="n"/>
    </row>
    <row r="97" ht="15" customFormat="1" customHeight="1" s="3" thickBot="1">
      <c r="A97" s="75">
        <f>(A96+1)</f>
        <v/>
      </c>
      <c r="B97" s="36" t="inlineStr">
        <is>
          <t xml:space="preserve">Paladar   </t>
        </is>
      </c>
      <c r="C97" s="36" t="n">
        <v>400492</v>
      </c>
      <c r="D97" s="122" t="n">
        <v>0</v>
      </c>
      <c r="E97" s="122" t="n">
        <v>50.4</v>
      </c>
      <c r="F97" s="36" t="n">
        <v>0</v>
      </c>
      <c r="G97" s="36" t="n">
        <v>0</v>
      </c>
      <c r="H97" s="36" t="n">
        <v>1</v>
      </c>
      <c r="I97" s="36" t="n">
        <v>1</v>
      </c>
      <c r="J97" s="122" t="n">
        <v>52.5</v>
      </c>
      <c r="K97" s="36" t="n">
        <v>50.4</v>
      </c>
      <c r="L97" s="122">
        <f>(E97+(15%*E97))</f>
        <v/>
      </c>
      <c r="M97" s="36" t="n">
        <v>750</v>
      </c>
      <c r="N97" s="123">
        <f>(M97/29.5735)</f>
        <v/>
      </c>
      <c r="O97" s="124">
        <f>(L97/N97)</f>
        <v/>
      </c>
      <c r="P97" s="23">
        <f>($O97*P$2)</f>
        <v/>
      </c>
      <c r="Q97" s="23">
        <f>($O97*Q$2)</f>
        <v/>
      </c>
      <c r="R97" s="23">
        <f>($O97*R$2)</f>
        <v/>
      </c>
      <c r="S97" s="23">
        <f>($O97*S$2)</f>
        <v/>
      </c>
      <c r="T97" s="23">
        <f>($O97*T$2)</f>
        <v/>
      </c>
      <c r="U97" s="23">
        <f>($O97*U$2)</f>
        <v/>
      </c>
      <c r="V97" s="23">
        <f>($O97*V$2)</f>
        <v/>
      </c>
      <c r="W97" s="23">
        <f>($O97*W$2)</f>
        <v/>
      </c>
      <c r="X97" s="23">
        <f>($O97*X$2)</f>
        <v/>
      </c>
      <c r="Y97" s="23">
        <f>($O97*Y$2)</f>
        <v/>
      </c>
      <c r="Z97" s="23">
        <f>($O97*Z$2)</f>
        <v/>
      </c>
      <c r="AA97" s="23">
        <f>($O97*AA$2)</f>
        <v/>
      </c>
      <c r="AB97" s="23">
        <f>($O97*AB$2)</f>
        <v/>
      </c>
      <c r="AC97" s="23">
        <f>($O97*AC$2)</f>
        <v/>
      </c>
      <c r="AD97" s="23">
        <f>($O97*AD$2)</f>
        <v/>
      </c>
      <c r="AE97" s="23">
        <f>($O97*AE$2)</f>
        <v/>
      </c>
      <c r="AF97" s="13">
        <f>($O97*AF$2)</f>
        <v/>
      </c>
      <c r="AG97" s="94">
        <f>(AH97/O97)</f>
        <v/>
      </c>
      <c r="AH97" s="102" t="n">
        <v>24</v>
      </c>
      <c r="AI97" s="103">
        <f>(AH97*1.5)</f>
        <v/>
      </c>
      <c r="AJ97" s="104">
        <f>(AH97*2)</f>
        <v/>
      </c>
      <c r="AK97" s="119">
        <f>(AJ97+2)</f>
        <v/>
      </c>
      <c r="AL97" s="106">
        <f>(AH97*2.5)</f>
        <v/>
      </c>
      <c r="AM97" s="107">
        <f>(AH97*N97)*0.7</f>
        <v/>
      </c>
      <c r="AN97" s="55">
        <f>(1-(AO97)/(AH97*N97))</f>
        <v/>
      </c>
      <c r="AO97" s="107">
        <f>FLOOR(AM97,100)</f>
        <v/>
      </c>
      <c r="AP97" s="36" t="inlineStr">
        <is>
          <t>Reposado</t>
        </is>
      </c>
      <c r="AQ97" s="76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</row>
    <row r="98" ht="15" customFormat="1" customHeight="1" s="3" thickBot="1">
      <c r="A98" s="75">
        <f>(A97+1)</f>
        <v/>
      </c>
      <c r="B98" s="36" t="inlineStr">
        <is>
          <t>Siete Leguas   (700mL / item)</t>
        </is>
      </c>
      <c r="C98" s="36" t="n">
        <v>17348186</v>
      </c>
      <c r="D98" s="122" t="n">
        <v>0</v>
      </c>
      <c r="E98" s="122" t="n">
        <v>47.4</v>
      </c>
      <c r="F98" s="36" t="n">
        <v>0</v>
      </c>
      <c r="G98" s="36" t="n">
        <v>0</v>
      </c>
      <c r="H98" s="36" t="n">
        <v>1</v>
      </c>
      <c r="I98" s="36" t="n">
        <v>1</v>
      </c>
      <c r="J98" s="122" t="n">
        <v>47.4</v>
      </c>
      <c r="K98" s="36" t="n">
        <v>47.39</v>
      </c>
      <c r="L98" s="122">
        <f>(E98+(15%*E98))</f>
        <v/>
      </c>
      <c r="M98" s="36" t="n">
        <v>700</v>
      </c>
      <c r="N98" s="123">
        <f>(M98/29.5735)</f>
        <v/>
      </c>
      <c r="O98" s="124">
        <f>(L98/N98)</f>
        <v/>
      </c>
      <c r="P98" s="23">
        <f>($O98*P$2)</f>
        <v/>
      </c>
      <c r="Q98" s="23">
        <f>($O98*Q$2)</f>
        <v/>
      </c>
      <c r="R98" s="23">
        <f>($O98*R$2)</f>
        <v/>
      </c>
      <c r="S98" s="23">
        <f>($O98*S$2)</f>
        <v/>
      </c>
      <c r="T98" s="23">
        <f>($O98*T$2)</f>
        <v/>
      </c>
      <c r="U98" s="23">
        <f>($O98*U$2)</f>
        <v/>
      </c>
      <c r="V98" s="23">
        <f>($O98*V$2)</f>
        <v/>
      </c>
      <c r="W98" s="23">
        <f>($O98*W$2)</f>
        <v/>
      </c>
      <c r="X98" s="23">
        <f>($O98*X$2)</f>
        <v/>
      </c>
      <c r="Y98" s="23">
        <f>($O98*Y$2)</f>
        <v/>
      </c>
      <c r="Z98" s="23">
        <f>($O98*Z$2)</f>
        <v/>
      </c>
      <c r="AA98" s="23">
        <f>($O98*AA$2)</f>
        <v/>
      </c>
      <c r="AB98" s="23">
        <f>($O98*AB$2)</f>
        <v/>
      </c>
      <c r="AC98" s="23">
        <f>($O98*AC$2)</f>
        <v/>
      </c>
      <c r="AD98" s="23">
        <f>($O98*AD$2)</f>
        <v/>
      </c>
      <c r="AE98" s="23">
        <f>($O98*AE$2)</f>
        <v/>
      </c>
      <c r="AF98" s="13">
        <f>($O98*AF$2)</f>
        <v/>
      </c>
      <c r="AG98" s="94">
        <f>(AH98/O98)</f>
        <v/>
      </c>
      <c r="AH98" s="102">
        <f>(O98*10)</f>
        <v/>
      </c>
      <c r="AI98" s="103">
        <f>(AH98*1.5)</f>
        <v/>
      </c>
      <c r="AJ98" s="104">
        <f>(AH98*2)</f>
        <v/>
      </c>
      <c r="AK98" s="119">
        <f>(AJ98+2)</f>
        <v/>
      </c>
      <c r="AL98" s="106">
        <f>(AH98*2.5)</f>
        <v/>
      </c>
      <c r="AM98" s="107">
        <f>(AH98*N98)*0.7</f>
        <v/>
      </c>
      <c r="AN98" s="55">
        <f>(1-(AO98)/(AH98*N98))</f>
        <v/>
      </c>
      <c r="AO98" s="107">
        <f>FLOOR(AM98,100)</f>
        <v/>
      </c>
      <c r="AP98" s="36" t="inlineStr">
        <is>
          <t>Reposado</t>
        </is>
      </c>
      <c r="AQ98" s="76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</row>
    <row r="99" ht="15" customFormat="1" customHeight="1" s="3" thickBot="1">
      <c r="A99" s="75">
        <f>(A98+1)</f>
        <v/>
      </c>
      <c r="B99" s="36" t="inlineStr">
        <is>
          <t xml:space="preserve">Kah   </t>
        </is>
      </c>
      <c r="C99" s="36" t="n">
        <v>28681009</v>
      </c>
      <c r="D99" s="122" t="n">
        <v>0</v>
      </c>
      <c r="E99" s="122" t="n">
        <v>50.01</v>
      </c>
      <c r="F99" s="36" t="n">
        <v>0</v>
      </c>
      <c r="G99" s="36" t="n">
        <v>0</v>
      </c>
      <c r="H99" s="36" t="n">
        <v>1</v>
      </c>
      <c r="I99" s="36" t="n">
        <v>1</v>
      </c>
      <c r="J99" s="122" t="n">
        <v>50.02</v>
      </c>
      <c r="K99" s="36" t="n">
        <v>50.01</v>
      </c>
      <c r="L99" s="122">
        <f>(E99+(15%*E99))</f>
        <v/>
      </c>
      <c r="M99" s="36" t="n">
        <v>750</v>
      </c>
      <c r="N99" s="123">
        <f>(M99/29.5735)</f>
        <v/>
      </c>
      <c r="O99" s="124">
        <f>(L99/N99)</f>
        <v/>
      </c>
      <c r="P99" s="23">
        <f>($O99*P$2)</f>
        <v/>
      </c>
      <c r="Q99" s="23">
        <f>($O99*Q$2)</f>
        <v/>
      </c>
      <c r="R99" s="23">
        <f>($O99*R$2)</f>
        <v/>
      </c>
      <c r="S99" s="23">
        <f>($O99*S$2)</f>
        <v/>
      </c>
      <c r="T99" s="23">
        <f>($O99*T$2)</f>
        <v/>
      </c>
      <c r="U99" s="23">
        <f>($O99*U$2)</f>
        <v/>
      </c>
      <c r="V99" s="23">
        <f>($O99*V$2)</f>
        <v/>
      </c>
      <c r="W99" s="23">
        <f>($O99*W$2)</f>
        <v/>
      </c>
      <c r="X99" s="23">
        <f>($O99*X$2)</f>
        <v/>
      </c>
      <c r="Y99" s="23">
        <f>($O99*Y$2)</f>
        <v/>
      </c>
      <c r="Z99" s="23">
        <f>($O99*Z$2)</f>
        <v/>
      </c>
      <c r="AA99" s="23">
        <f>($O99*AA$2)</f>
        <v/>
      </c>
      <c r="AB99" s="23">
        <f>($O99*AB$2)</f>
        <v/>
      </c>
      <c r="AC99" s="23">
        <f>($O99*AC$2)</f>
        <v/>
      </c>
      <c r="AD99" s="23">
        <f>($O99*AD$2)</f>
        <v/>
      </c>
      <c r="AE99" s="23">
        <f>($O99*AE$2)</f>
        <v/>
      </c>
      <c r="AF99" s="13">
        <f>($O99*AF$2)</f>
        <v/>
      </c>
      <c r="AG99" s="94">
        <f>(AH99/O99)</f>
        <v/>
      </c>
      <c r="AH99" s="102">
        <f>(O99*10)</f>
        <v/>
      </c>
      <c r="AI99" s="103">
        <f>(AH99*1.5)</f>
        <v/>
      </c>
      <c r="AJ99" s="104">
        <f>(AH99*2)</f>
        <v/>
      </c>
      <c r="AK99" s="119">
        <f>(AJ99+2)</f>
        <v/>
      </c>
      <c r="AL99" s="106">
        <f>(AH99*2.5)</f>
        <v/>
      </c>
      <c r="AM99" s="107">
        <f>(AH99*N99)*0.7</f>
        <v/>
      </c>
      <c r="AN99" s="55">
        <f>(1-(AO99)/(AH99*N99))</f>
        <v/>
      </c>
      <c r="AO99" s="107">
        <f>FLOOR(AM99,100)</f>
        <v/>
      </c>
      <c r="AP99" s="36" t="inlineStr">
        <is>
          <t>Reposado</t>
        </is>
      </c>
      <c r="AQ99" s="76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n"/>
      <c r="CG99" s="11" t="n"/>
      <c r="CH99" s="11" t="n"/>
      <c r="CI99" s="11" t="n"/>
    </row>
    <row r="100" ht="15" customFormat="1" customHeight="1" s="3" thickBot="1">
      <c r="A100" s="75">
        <f>(A99+1)</f>
        <v/>
      </c>
      <c r="B100" s="36" t="inlineStr">
        <is>
          <t xml:space="preserve">Adictivo   </t>
        </is>
      </c>
      <c r="C100" s="36" t="n">
        <v>81402370</v>
      </c>
      <c r="D100" s="122" t="n">
        <v>0</v>
      </c>
      <c r="E100" s="122" t="n">
        <v>48.21</v>
      </c>
      <c r="F100" s="36" t="n">
        <v>0</v>
      </c>
      <c r="G100" s="36" t="n">
        <v>0</v>
      </c>
      <c r="H100" s="36" t="n">
        <v>1</v>
      </c>
      <c r="I100" s="36" t="n">
        <v>1</v>
      </c>
      <c r="J100" s="122" t="n">
        <v>48.21</v>
      </c>
      <c r="K100" s="36" t="n">
        <v>48.21</v>
      </c>
      <c r="L100" s="122">
        <f>(E100+(15%*E100))</f>
        <v/>
      </c>
      <c r="M100" s="36" t="n">
        <v>750</v>
      </c>
      <c r="N100" s="123">
        <f>(M100/29.5735)</f>
        <v/>
      </c>
      <c r="O100" s="124">
        <f>(L100/N100)</f>
        <v/>
      </c>
      <c r="P100" s="23">
        <f>($O100*P$2)</f>
        <v/>
      </c>
      <c r="Q100" s="23">
        <f>($O100*Q$2)</f>
        <v/>
      </c>
      <c r="R100" s="23">
        <f>($O100*R$2)</f>
        <v/>
      </c>
      <c r="S100" s="23">
        <f>($O100*S$2)</f>
        <v/>
      </c>
      <c r="T100" s="23">
        <f>($O100*T$2)</f>
        <v/>
      </c>
      <c r="U100" s="23">
        <f>($O100*U$2)</f>
        <v/>
      </c>
      <c r="V100" s="23">
        <f>($O100*V$2)</f>
        <v/>
      </c>
      <c r="W100" s="23">
        <f>($O100*W$2)</f>
        <v/>
      </c>
      <c r="X100" s="23">
        <f>($O100*X$2)</f>
        <v/>
      </c>
      <c r="Y100" s="23">
        <f>($O100*Y$2)</f>
        <v/>
      </c>
      <c r="Z100" s="23">
        <f>($O100*Z$2)</f>
        <v/>
      </c>
      <c r="AA100" s="23">
        <f>($O100*AA$2)</f>
        <v/>
      </c>
      <c r="AB100" s="23">
        <f>($O100*AB$2)</f>
        <v/>
      </c>
      <c r="AC100" s="23">
        <f>($O100*AC$2)</f>
        <v/>
      </c>
      <c r="AD100" s="23">
        <f>($O100*AD$2)</f>
        <v/>
      </c>
      <c r="AE100" s="23">
        <f>($O100*AE$2)</f>
        <v/>
      </c>
      <c r="AF100" s="13">
        <f>($O100*AF$2)</f>
        <v/>
      </c>
      <c r="AG100" s="94">
        <f>(AH100/O100)</f>
        <v/>
      </c>
      <c r="AH100" s="102">
        <f>(O100*10)</f>
        <v/>
      </c>
      <c r="AI100" s="103">
        <f>(AH100*1.5)</f>
        <v/>
      </c>
      <c r="AJ100" s="104">
        <f>(AH100*2)</f>
        <v/>
      </c>
      <c r="AK100" s="119">
        <f>(AJ100+2)</f>
        <v/>
      </c>
      <c r="AL100" s="106">
        <f>(AH100*2.5)</f>
        <v/>
      </c>
      <c r="AM100" s="107">
        <f>(AH100*N100)*0.7</f>
        <v/>
      </c>
      <c r="AN100" s="55">
        <f>(1-(AO100)/(AH100*N100))</f>
        <v/>
      </c>
      <c r="AO100" s="107">
        <f>FLOOR(AM100,100)</f>
        <v/>
      </c>
      <c r="AP100" s="36" t="inlineStr">
        <is>
          <t>Reposado</t>
        </is>
      </c>
      <c r="AQ100" s="76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</row>
    <row r="101" ht="15" customFormat="1" customHeight="1" s="3" thickBot="1">
      <c r="A101" s="75">
        <f>(A100+1)</f>
        <v/>
      </c>
      <c r="B101" s="36" t="inlineStr">
        <is>
          <t xml:space="preserve">Santo   </t>
        </is>
      </c>
      <c r="C101" s="36" t="n">
        <v>987664</v>
      </c>
      <c r="D101" s="122" t="n">
        <v>0</v>
      </c>
      <c r="E101" s="122" t="n">
        <v>43.3</v>
      </c>
      <c r="F101" s="36" t="n">
        <v>0</v>
      </c>
      <c r="G101" s="36" t="n">
        <v>0</v>
      </c>
      <c r="H101" s="36" t="n">
        <v>1</v>
      </c>
      <c r="I101" s="36" t="n">
        <v>1</v>
      </c>
      <c r="J101" s="122" t="n">
        <v>45.93</v>
      </c>
      <c r="K101" s="36" t="n">
        <v>43.3</v>
      </c>
      <c r="L101" s="122">
        <f>(E101+(15%*E101))</f>
        <v/>
      </c>
      <c r="M101" s="36" t="n">
        <v>750</v>
      </c>
      <c r="N101" s="123">
        <f>(M101/29.5735)</f>
        <v/>
      </c>
      <c r="O101" s="124">
        <f>(L101/N101)</f>
        <v/>
      </c>
      <c r="P101" s="23">
        <f>($O101*P$2)</f>
        <v/>
      </c>
      <c r="Q101" s="23">
        <f>($O101*Q$2)</f>
        <v/>
      </c>
      <c r="R101" s="23">
        <f>($O101*R$2)</f>
        <v/>
      </c>
      <c r="S101" s="23">
        <f>($O101*S$2)</f>
        <v/>
      </c>
      <c r="T101" s="23">
        <f>($O101*T$2)</f>
        <v/>
      </c>
      <c r="U101" s="23">
        <f>($O101*U$2)</f>
        <v/>
      </c>
      <c r="V101" s="23">
        <f>($O101*V$2)</f>
        <v/>
      </c>
      <c r="W101" s="23">
        <f>($O101*W$2)</f>
        <v/>
      </c>
      <c r="X101" s="23">
        <f>($O101*X$2)</f>
        <v/>
      </c>
      <c r="Y101" s="23">
        <f>($O101*Y$2)</f>
        <v/>
      </c>
      <c r="Z101" s="23">
        <f>($O101*Z$2)</f>
        <v/>
      </c>
      <c r="AA101" s="23">
        <f>($O101*AA$2)</f>
        <v/>
      </c>
      <c r="AB101" s="23">
        <f>($O101*AB$2)</f>
        <v/>
      </c>
      <c r="AC101" s="23">
        <f>($O101*AC$2)</f>
        <v/>
      </c>
      <c r="AD101" s="23">
        <f>($O101*AD$2)</f>
        <v/>
      </c>
      <c r="AE101" s="23">
        <f>($O101*AE$2)</f>
        <v/>
      </c>
      <c r="AF101" s="13">
        <f>($O101*AF$2)</f>
        <v/>
      </c>
      <c r="AG101" s="94">
        <f>(AH101/O101)</f>
        <v/>
      </c>
      <c r="AH101" s="102" t="n">
        <v>22</v>
      </c>
      <c r="AI101" s="103">
        <f>(AH101*1.5)</f>
        <v/>
      </c>
      <c r="AJ101" s="104">
        <f>(AH101*2)</f>
        <v/>
      </c>
      <c r="AK101" s="119">
        <f>(AJ101+2)</f>
        <v/>
      </c>
      <c r="AL101" s="106">
        <f>(AH101*2.5)</f>
        <v/>
      </c>
      <c r="AM101" s="107">
        <f>(AH101*N101)*0.7</f>
        <v/>
      </c>
      <c r="AN101" s="55">
        <f>(1-(AO101)/(AH101*N101))</f>
        <v/>
      </c>
      <c r="AO101" s="107">
        <f>FLOOR(AM101,100)</f>
        <v/>
      </c>
      <c r="AP101" s="36" t="inlineStr">
        <is>
          <t>Reposado</t>
        </is>
      </c>
      <c r="AQ101" s="76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n"/>
      <c r="CD101" s="11" t="n"/>
      <c r="CE101" s="11" t="n"/>
      <c r="CF101" s="11" t="n"/>
      <c r="CG101" s="11" t="n"/>
      <c r="CH101" s="11" t="n"/>
      <c r="CI101" s="11" t="n"/>
    </row>
    <row r="102" ht="15" customFormat="1" customHeight="1" s="3" thickBot="1">
      <c r="A102" s="75">
        <f>(A101+1)</f>
        <v/>
      </c>
      <c r="B102" s="36" t="inlineStr">
        <is>
          <t xml:space="preserve">Patron   </t>
        </is>
      </c>
      <c r="C102" s="36" t="n">
        <v>43177</v>
      </c>
      <c r="D102" s="122" t="n">
        <v>0</v>
      </c>
      <c r="E102" s="122" t="n">
        <v>46.75</v>
      </c>
      <c r="F102" s="36" t="n">
        <v>0</v>
      </c>
      <c r="G102" s="36" t="n">
        <v>0</v>
      </c>
      <c r="H102" s="36" t="n">
        <v>1</v>
      </c>
      <c r="I102" s="36" t="n">
        <v>1</v>
      </c>
      <c r="J102" s="122" t="n">
        <v>45.11</v>
      </c>
      <c r="K102" s="36" t="n">
        <v>46.75</v>
      </c>
      <c r="L102" s="122">
        <f>(E102+(15%*E102))</f>
        <v/>
      </c>
      <c r="M102" s="36" t="n">
        <v>750</v>
      </c>
      <c r="N102" s="123">
        <f>(M102/29.5735)</f>
        <v/>
      </c>
      <c r="O102" s="124">
        <f>(L102/N102)</f>
        <v/>
      </c>
      <c r="P102" s="23">
        <f>($O102*P$2)</f>
        <v/>
      </c>
      <c r="Q102" s="23">
        <f>($O102*Q$2)</f>
        <v/>
      </c>
      <c r="R102" s="23">
        <f>($O102*R$2)</f>
        <v/>
      </c>
      <c r="S102" s="23">
        <f>($O102*S$2)</f>
        <v/>
      </c>
      <c r="T102" s="23">
        <f>($O102*T$2)</f>
        <v/>
      </c>
      <c r="U102" s="23">
        <f>($O102*U$2)</f>
        <v/>
      </c>
      <c r="V102" s="23">
        <f>($O102*V$2)</f>
        <v/>
      </c>
      <c r="W102" s="23">
        <f>($O102*W$2)</f>
        <v/>
      </c>
      <c r="X102" s="23">
        <f>($O102*X$2)</f>
        <v/>
      </c>
      <c r="Y102" s="23">
        <f>($O102*Y$2)</f>
        <v/>
      </c>
      <c r="Z102" s="23">
        <f>($O102*Z$2)</f>
        <v/>
      </c>
      <c r="AA102" s="23">
        <f>($O102*AA$2)</f>
        <v/>
      </c>
      <c r="AB102" s="23">
        <f>($O102*AB$2)</f>
        <v/>
      </c>
      <c r="AC102" s="23">
        <f>($O102*AC$2)</f>
        <v/>
      </c>
      <c r="AD102" s="23">
        <f>($O102*AD$2)</f>
        <v/>
      </c>
      <c r="AE102" s="23">
        <f>($O102*AE$2)</f>
        <v/>
      </c>
      <c r="AF102" s="13">
        <f>($O102*AF$2)</f>
        <v/>
      </c>
      <c r="AG102" s="94">
        <f>(AH102/O102)</f>
        <v/>
      </c>
      <c r="AH102" s="102" t="n">
        <v>22</v>
      </c>
      <c r="AI102" s="103">
        <f>(AH102*1.5)</f>
        <v/>
      </c>
      <c r="AJ102" s="104">
        <f>(AH102*2)</f>
        <v/>
      </c>
      <c r="AK102" s="119">
        <f>(AJ102+2)</f>
        <v/>
      </c>
      <c r="AL102" s="106">
        <f>(AH102*2.5)</f>
        <v/>
      </c>
      <c r="AM102" s="107">
        <f>(AH102*N102)*0.7</f>
        <v/>
      </c>
      <c r="AN102" s="55">
        <f>(1-(AO102)/(AH102*N102))</f>
        <v/>
      </c>
      <c r="AO102" s="107">
        <f>FLOOR(AM102,100)</f>
        <v/>
      </c>
      <c r="AP102" s="36" t="inlineStr">
        <is>
          <t>Reposado</t>
        </is>
      </c>
      <c r="AQ102" s="76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</row>
    <row r="103" ht="15" customHeight="1" thickBot="1">
      <c r="A103" s="75">
        <f>(A102+1)</f>
        <v/>
      </c>
      <c r="B103" s="36" t="inlineStr">
        <is>
          <t xml:space="preserve">Don Julio   </t>
        </is>
      </c>
      <c r="C103" s="36" t="n">
        <v>631009</v>
      </c>
      <c r="D103" s="122" t="n">
        <v>0</v>
      </c>
      <c r="E103" s="122" t="n">
        <v>44.94</v>
      </c>
      <c r="F103" s="36" t="n">
        <v>0</v>
      </c>
      <c r="G103" s="36" t="n">
        <v>0</v>
      </c>
      <c r="H103" s="36" t="n">
        <v>3</v>
      </c>
      <c r="I103" s="36" t="n">
        <v>3</v>
      </c>
      <c r="J103" s="122" t="n">
        <v>134.82</v>
      </c>
      <c r="K103" s="36" t="n">
        <v>139.74</v>
      </c>
      <c r="L103" s="122">
        <f>(E103+(15%*E103))</f>
        <v/>
      </c>
      <c r="M103" s="36" t="n">
        <v>750</v>
      </c>
      <c r="N103" s="123">
        <f>(M103/29.5735)</f>
        <v/>
      </c>
      <c r="O103" s="124">
        <f>(L103/N103)</f>
        <v/>
      </c>
      <c r="P103" s="23">
        <f>($O103*P$2)</f>
        <v/>
      </c>
      <c r="Q103" s="23">
        <f>($O103*Q$2)</f>
        <v/>
      </c>
      <c r="R103" s="23">
        <f>($O103*R$2)</f>
        <v/>
      </c>
      <c r="S103" s="23">
        <f>($O103*S$2)</f>
        <v/>
      </c>
      <c r="T103" s="23">
        <f>($O103*T$2)</f>
        <v/>
      </c>
      <c r="U103" s="23">
        <f>($O103*U$2)</f>
        <v/>
      </c>
      <c r="V103" s="23">
        <f>($O103*V$2)</f>
        <v/>
      </c>
      <c r="W103" s="23">
        <f>($O103*W$2)</f>
        <v/>
      </c>
      <c r="X103" s="23">
        <f>($O103*X$2)</f>
        <v/>
      </c>
      <c r="Y103" s="23">
        <f>($O103*Y$2)</f>
        <v/>
      </c>
      <c r="Z103" s="23">
        <f>($O103*Z$2)</f>
        <v/>
      </c>
      <c r="AA103" s="23">
        <f>($O103*AA$2)</f>
        <v/>
      </c>
      <c r="AB103" s="23">
        <f>($O103*AB$2)</f>
        <v/>
      </c>
      <c r="AC103" s="23">
        <f>($O103*AC$2)</f>
        <v/>
      </c>
      <c r="AD103" s="23">
        <f>($O103*AD$2)</f>
        <v/>
      </c>
      <c r="AE103" s="23">
        <f>($O103*AE$2)</f>
        <v/>
      </c>
      <c r="AF103" s="13">
        <f>($O103*AF$2)</f>
        <v/>
      </c>
      <c r="AG103" s="94">
        <f>(AH103/O103)</f>
        <v/>
      </c>
      <c r="AH103" s="102">
        <f>(O103*10)</f>
        <v/>
      </c>
      <c r="AI103" s="103">
        <f>(AH103*1.5)</f>
        <v/>
      </c>
      <c r="AJ103" s="104">
        <f>(AH103*2)</f>
        <v/>
      </c>
      <c r="AK103" s="119">
        <f>(AJ103+2)</f>
        <v/>
      </c>
      <c r="AL103" s="106">
        <f>(AH103*2.5)</f>
        <v/>
      </c>
      <c r="AM103" s="107">
        <f>(AH103*N103)*0.7</f>
        <v/>
      </c>
      <c r="AN103" s="55">
        <f>(1-(AO103)/(AH103*N103))</f>
        <v/>
      </c>
      <c r="AO103" s="107">
        <f>FLOOR(AM103,100)</f>
        <v/>
      </c>
      <c r="AP103" s="36" t="inlineStr">
        <is>
          <t>Reposado</t>
        </is>
      </c>
      <c r="AQ103" s="76" t="n"/>
    </row>
    <row r="104" ht="15" customHeight="1" thickBot="1">
      <c r="A104" s="75">
        <f>(A103+1)</f>
        <v/>
      </c>
      <c r="B104" s="36" t="inlineStr">
        <is>
          <t xml:space="preserve">Herradura    </t>
        </is>
      </c>
      <c r="C104" s="36" t="n">
        <v>248925</v>
      </c>
      <c r="D104" s="122" t="n">
        <v>0</v>
      </c>
      <c r="E104" s="122" t="n">
        <v>43.48</v>
      </c>
      <c r="F104" s="36" t="n">
        <v>0</v>
      </c>
      <c r="G104" s="36" t="n">
        <v>0</v>
      </c>
      <c r="H104" s="36" t="n">
        <v>1</v>
      </c>
      <c r="I104" s="36" t="n">
        <v>1</v>
      </c>
      <c r="J104" s="122" t="n">
        <v>43.48</v>
      </c>
      <c r="K104" s="36" t="n">
        <v>40.86</v>
      </c>
      <c r="L104" s="122">
        <f>(E104+(15%*E104))</f>
        <v/>
      </c>
      <c r="M104" s="36" t="n">
        <v>750</v>
      </c>
      <c r="N104" s="123">
        <f>(M104/29.5735)</f>
        <v/>
      </c>
      <c r="O104" s="124">
        <f>(L104/N104)</f>
        <v/>
      </c>
      <c r="P104" s="23">
        <f>($O104*P$2)</f>
        <v/>
      </c>
      <c r="Q104" s="23">
        <f>($O104*Q$2)</f>
        <v/>
      </c>
      <c r="R104" s="23">
        <f>($O104*R$2)</f>
        <v/>
      </c>
      <c r="S104" s="23">
        <f>($O104*S$2)</f>
        <v/>
      </c>
      <c r="T104" s="23">
        <f>($O104*T$2)</f>
        <v/>
      </c>
      <c r="U104" s="23">
        <f>($O104*U$2)</f>
        <v/>
      </c>
      <c r="V104" s="23">
        <f>($O104*V$2)</f>
        <v/>
      </c>
      <c r="W104" s="23">
        <f>($O104*W$2)</f>
        <v/>
      </c>
      <c r="X104" s="23">
        <f>($O104*X$2)</f>
        <v/>
      </c>
      <c r="Y104" s="23">
        <f>($O104*Y$2)</f>
        <v/>
      </c>
      <c r="Z104" s="23">
        <f>($O104*Z$2)</f>
        <v/>
      </c>
      <c r="AA104" s="23">
        <f>($O104*AA$2)</f>
        <v/>
      </c>
      <c r="AB104" s="23">
        <f>($O104*AB$2)</f>
        <v/>
      </c>
      <c r="AC104" s="23">
        <f>($O104*AC$2)</f>
        <v/>
      </c>
      <c r="AD104" s="23">
        <f>($O104*AD$2)</f>
        <v/>
      </c>
      <c r="AE104" s="23">
        <f>($O104*AE$2)</f>
        <v/>
      </c>
      <c r="AF104" s="13">
        <f>($O104*AF$2)</f>
        <v/>
      </c>
      <c r="AG104" s="94">
        <f>(AH104/O104)</f>
        <v/>
      </c>
      <c r="AH104" s="102">
        <f>(O104*10)</f>
        <v/>
      </c>
      <c r="AI104" s="103">
        <f>(AH104*1.5)</f>
        <v/>
      </c>
      <c r="AJ104" s="104">
        <f>(AH104*2)</f>
        <v/>
      </c>
      <c r="AK104" s="119">
        <f>(AJ104+2)</f>
        <v/>
      </c>
      <c r="AL104" s="106">
        <f>(AH104*2.5)</f>
        <v/>
      </c>
      <c r="AM104" s="107">
        <f>(AH104*N104)*0.7</f>
        <v/>
      </c>
      <c r="AN104" s="55">
        <f>(1-(AO104)/(AH104*N104))</f>
        <v/>
      </c>
      <c r="AO104" s="107">
        <f>FLOOR(AM104,100)</f>
        <v/>
      </c>
      <c r="AP104" s="36" t="inlineStr">
        <is>
          <t>Reposado</t>
        </is>
      </c>
      <c r="AQ104" s="76" t="n"/>
    </row>
    <row r="105" ht="15" customHeight="1" thickBot="1">
      <c r="A105" s="75">
        <f>(A104+1)</f>
        <v/>
      </c>
      <c r="B105" s="36" t="inlineStr">
        <is>
          <t xml:space="preserve">Lobos 1707   </t>
        </is>
      </c>
      <c r="C105" s="36" t="n">
        <v>993202</v>
      </c>
      <c r="D105" s="122" t="n">
        <v>0</v>
      </c>
      <c r="E105" s="122" t="n">
        <v>39.22</v>
      </c>
      <c r="F105" s="36" t="n">
        <v>0</v>
      </c>
      <c r="G105" s="36" t="n">
        <v>0</v>
      </c>
      <c r="H105" s="36" t="n">
        <v>1</v>
      </c>
      <c r="I105" s="36" t="n">
        <v>1</v>
      </c>
      <c r="J105" s="122" t="n">
        <v>41.32</v>
      </c>
      <c r="K105" s="36" t="n">
        <v>39.22</v>
      </c>
      <c r="L105" s="122">
        <f>(E105+(15%*E105))</f>
        <v/>
      </c>
      <c r="M105" s="36" t="n">
        <v>750</v>
      </c>
      <c r="N105" s="123">
        <f>(M105/29.5735)</f>
        <v/>
      </c>
      <c r="O105" s="124">
        <f>(L105/N105)</f>
        <v/>
      </c>
      <c r="P105" s="23">
        <f>($O105*P$2)</f>
        <v/>
      </c>
      <c r="Q105" s="23">
        <f>($O105*Q$2)</f>
        <v/>
      </c>
      <c r="R105" s="23">
        <f>($O105*R$2)</f>
        <v/>
      </c>
      <c r="S105" s="23">
        <f>($O105*S$2)</f>
        <v/>
      </c>
      <c r="T105" s="23">
        <f>($O105*T$2)</f>
        <v/>
      </c>
      <c r="U105" s="23">
        <f>($O105*U$2)</f>
        <v/>
      </c>
      <c r="V105" s="23">
        <f>($O105*V$2)</f>
        <v/>
      </c>
      <c r="W105" s="23">
        <f>($O105*W$2)</f>
        <v/>
      </c>
      <c r="X105" s="23">
        <f>($O105*X$2)</f>
        <v/>
      </c>
      <c r="Y105" s="23">
        <f>($O105*Y$2)</f>
        <v/>
      </c>
      <c r="Z105" s="23">
        <f>($O105*Z$2)</f>
        <v/>
      </c>
      <c r="AA105" s="23">
        <f>($O105*AA$2)</f>
        <v/>
      </c>
      <c r="AB105" s="23">
        <f>($O105*AB$2)</f>
        <v/>
      </c>
      <c r="AC105" s="23">
        <f>($O105*AC$2)</f>
        <v/>
      </c>
      <c r="AD105" s="23">
        <f>($O105*AD$2)</f>
        <v/>
      </c>
      <c r="AE105" s="23">
        <f>($O105*AE$2)</f>
        <v/>
      </c>
      <c r="AF105" s="13">
        <f>($O105*AF$2)</f>
        <v/>
      </c>
      <c r="AG105" s="94">
        <f>(AH105/O105)</f>
        <v/>
      </c>
      <c r="AH105" s="102" t="n">
        <v>18</v>
      </c>
      <c r="AI105" s="103">
        <f>(AH105*1.5)</f>
        <v/>
      </c>
      <c r="AJ105" s="104">
        <f>(AH105*2)</f>
        <v/>
      </c>
      <c r="AK105" s="119">
        <f>(AJ105+2)</f>
        <v/>
      </c>
      <c r="AL105" s="106">
        <f>(AH105*2.5)</f>
        <v/>
      </c>
      <c r="AM105" s="107">
        <f>(AH105*N105)*0.7</f>
        <v/>
      </c>
      <c r="AN105" s="55">
        <f>(1-(AO105)/(AH105*N105))</f>
        <v/>
      </c>
      <c r="AO105" s="107">
        <f>FLOOR(AM105,100)</f>
        <v/>
      </c>
      <c r="AP105" s="36" t="inlineStr">
        <is>
          <t>Reposado</t>
        </is>
      </c>
      <c r="AQ105" s="76" t="n"/>
    </row>
    <row r="106" ht="15" customHeight="1" thickBot="1">
      <c r="A106" s="75">
        <f>(A105+1)</f>
        <v/>
      </c>
      <c r="B106" s="36" t="inlineStr">
        <is>
          <t xml:space="preserve">Tres Generaciones   </t>
        </is>
      </c>
      <c r="C106" s="36" t="n">
        <v>245835</v>
      </c>
      <c r="D106" s="122" t="n">
        <v>0</v>
      </c>
      <c r="E106" s="122" t="n">
        <v>38.4</v>
      </c>
      <c r="F106" s="36" t="n">
        <v>0</v>
      </c>
      <c r="G106" s="36" t="n">
        <v>0</v>
      </c>
      <c r="H106" s="36" t="n">
        <v>1</v>
      </c>
      <c r="I106" s="36" t="n">
        <v>1</v>
      </c>
      <c r="J106" s="122" t="n">
        <v>41.02</v>
      </c>
      <c r="K106" s="36" t="n">
        <v>38.4</v>
      </c>
      <c r="L106" s="122">
        <f>(E106+(15%*E106))</f>
        <v/>
      </c>
      <c r="M106" s="36" t="n">
        <v>750</v>
      </c>
      <c r="N106" s="123">
        <f>(M106/29.5735)</f>
        <v/>
      </c>
      <c r="O106" s="124">
        <f>(L106/N106)</f>
        <v/>
      </c>
      <c r="P106" s="23">
        <f>($O106*P$2)</f>
        <v/>
      </c>
      <c r="Q106" s="23">
        <f>($O106*Q$2)</f>
        <v/>
      </c>
      <c r="R106" s="23">
        <f>($O106*R$2)</f>
        <v/>
      </c>
      <c r="S106" s="23">
        <f>($O106*S$2)</f>
        <v/>
      </c>
      <c r="T106" s="23">
        <f>($O106*T$2)</f>
        <v/>
      </c>
      <c r="U106" s="23">
        <f>($O106*U$2)</f>
        <v/>
      </c>
      <c r="V106" s="23">
        <f>($O106*V$2)</f>
        <v/>
      </c>
      <c r="W106" s="23">
        <f>($O106*W$2)</f>
        <v/>
      </c>
      <c r="X106" s="23">
        <f>($O106*X$2)</f>
        <v/>
      </c>
      <c r="Y106" s="23">
        <f>($O106*Y$2)</f>
        <v/>
      </c>
      <c r="Z106" s="23">
        <f>($O106*Z$2)</f>
        <v/>
      </c>
      <c r="AA106" s="23">
        <f>($O106*AA$2)</f>
        <v/>
      </c>
      <c r="AB106" s="23">
        <f>($O106*AB$2)</f>
        <v/>
      </c>
      <c r="AC106" s="23">
        <f>($O106*AC$2)</f>
        <v/>
      </c>
      <c r="AD106" s="23">
        <f>($O106*AD$2)</f>
        <v/>
      </c>
      <c r="AE106" s="23">
        <f>($O106*AE$2)</f>
        <v/>
      </c>
      <c r="AF106" s="13">
        <f>($O106*AF$2)</f>
        <v/>
      </c>
      <c r="AG106" s="94">
        <f>(AH106/O106)</f>
        <v/>
      </c>
      <c r="AH106" s="102">
        <f>(O106*10)</f>
        <v/>
      </c>
      <c r="AI106" s="103">
        <f>(AH106*1.5)</f>
        <v/>
      </c>
      <c r="AJ106" s="104">
        <f>(AH106*2)</f>
        <v/>
      </c>
      <c r="AK106" s="119">
        <f>(AJ106+2)</f>
        <v/>
      </c>
      <c r="AL106" s="106">
        <f>(AH106*2.5)</f>
        <v/>
      </c>
      <c r="AM106" s="107">
        <f>(AH106*N106)*0.7</f>
        <v/>
      </c>
      <c r="AN106" s="55">
        <f>(1-(AO106)/(AH106*N106))</f>
        <v/>
      </c>
      <c r="AO106" s="107">
        <f>FLOOR(AM106,100)</f>
        <v/>
      </c>
      <c r="AP106" s="36" t="inlineStr">
        <is>
          <t>Reposado</t>
        </is>
      </c>
      <c r="AQ106" s="76" t="n"/>
    </row>
    <row r="107" ht="15" customHeight="1" thickBot="1">
      <c r="A107" s="75">
        <f>(A106+1)</f>
        <v/>
      </c>
      <c r="B107" s="36" t="inlineStr">
        <is>
          <t xml:space="preserve">Hussongs   </t>
        </is>
      </c>
      <c r="C107" s="36" t="n">
        <v>419263</v>
      </c>
      <c r="D107" s="122" t="n">
        <v>0</v>
      </c>
      <c r="E107" s="122" t="n">
        <v>34.31</v>
      </c>
      <c r="F107" s="36" t="n">
        <v>0</v>
      </c>
      <c r="G107" s="36" t="n">
        <v>0</v>
      </c>
      <c r="H107" s="36" t="n">
        <v>1</v>
      </c>
      <c r="I107" s="36" t="n">
        <v>1</v>
      </c>
      <c r="J107" s="122" t="n">
        <v>36.94</v>
      </c>
      <c r="K107" s="36" t="n">
        <v>34.31</v>
      </c>
      <c r="L107" s="122">
        <f>(E107+(15%*E107))</f>
        <v/>
      </c>
      <c r="M107" s="36" t="n">
        <v>750</v>
      </c>
      <c r="N107" s="123">
        <f>(M107/29.5735)</f>
        <v/>
      </c>
      <c r="O107" s="124">
        <f>(L107/N107)</f>
        <v/>
      </c>
      <c r="P107" s="23">
        <f>($O107*P$2)</f>
        <v/>
      </c>
      <c r="Q107" s="23">
        <f>($O107*Q$2)</f>
        <v/>
      </c>
      <c r="R107" s="23">
        <f>($O107*R$2)</f>
        <v/>
      </c>
      <c r="S107" s="23">
        <f>($O107*S$2)</f>
        <v/>
      </c>
      <c r="T107" s="23">
        <f>($O107*T$2)</f>
        <v/>
      </c>
      <c r="U107" s="23">
        <f>($O107*U$2)</f>
        <v/>
      </c>
      <c r="V107" s="23">
        <f>($O107*V$2)</f>
        <v/>
      </c>
      <c r="W107" s="23">
        <f>($O107*W$2)</f>
        <v/>
      </c>
      <c r="X107" s="23">
        <f>($O107*X$2)</f>
        <v/>
      </c>
      <c r="Y107" s="23">
        <f>($O107*Y$2)</f>
        <v/>
      </c>
      <c r="Z107" s="23">
        <f>($O107*Z$2)</f>
        <v/>
      </c>
      <c r="AA107" s="23">
        <f>($O107*AA$2)</f>
        <v/>
      </c>
      <c r="AB107" s="23">
        <f>($O107*AB$2)</f>
        <v/>
      </c>
      <c r="AC107" s="23">
        <f>($O107*AC$2)</f>
        <v/>
      </c>
      <c r="AD107" s="23">
        <f>($O107*AD$2)</f>
        <v/>
      </c>
      <c r="AE107" s="23">
        <f>($O107*AE$2)</f>
        <v/>
      </c>
      <c r="AF107" s="13">
        <f>($O107*AF$2)</f>
        <v/>
      </c>
      <c r="AG107" s="94">
        <f>(AH107/O107)</f>
        <v/>
      </c>
      <c r="AH107" s="102">
        <f>(O107*10)</f>
        <v/>
      </c>
      <c r="AI107" s="103">
        <f>(AH107*1.5)</f>
        <v/>
      </c>
      <c r="AJ107" s="104">
        <f>(AH107*2)</f>
        <v/>
      </c>
      <c r="AK107" s="119">
        <f>(AJ107+2)</f>
        <v/>
      </c>
      <c r="AL107" s="106">
        <f>(AH107*2.5)</f>
        <v/>
      </c>
      <c r="AM107" s="107">
        <f>(AH107*N107)*0.7</f>
        <v/>
      </c>
      <c r="AN107" s="55">
        <f>(1-(AO107)/(AH107*N107))</f>
        <v/>
      </c>
      <c r="AO107" s="107">
        <f>FLOOR(AM107,100)</f>
        <v/>
      </c>
      <c r="AP107" s="36" t="inlineStr">
        <is>
          <t>Reposado</t>
        </is>
      </c>
      <c r="AQ107" s="76" t="n"/>
    </row>
    <row r="108" ht="15" customHeight="1" thickBot="1">
      <c r="A108" s="75">
        <f>(A107+1)</f>
        <v/>
      </c>
      <c r="B108" s="36" t="inlineStr">
        <is>
          <t xml:space="preserve">Tres Agave   </t>
        </is>
      </c>
      <c r="C108" s="36" t="n">
        <v>14497009</v>
      </c>
      <c r="D108" s="122" t="n">
        <v>0</v>
      </c>
      <c r="E108" s="122" t="n">
        <v>35.31</v>
      </c>
      <c r="F108" s="36" t="n">
        <v>0</v>
      </c>
      <c r="G108" s="36" t="n">
        <v>0</v>
      </c>
      <c r="H108" s="36" t="n">
        <v>1</v>
      </c>
      <c r="I108" s="36" t="n">
        <v>1</v>
      </c>
      <c r="J108" s="122" t="n">
        <v>35.31</v>
      </c>
      <c r="K108" s="36" t="n">
        <v>32.69</v>
      </c>
      <c r="L108" s="122">
        <f>(E108+(15%*E108))</f>
        <v/>
      </c>
      <c r="M108" s="36" t="n">
        <v>750</v>
      </c>
      <c r="N108" s="123">
        <f>(M108/29.5735)</f>
        <v/>
      </c>
      <c r="O108" s="124">
        <f>(L108/N108)</f>
        <v/>
      </c>
      <c r="P108" s="23">
        <f>($O108*P$2)</f>
        <v/>
      </c>
      <c r="Q108" s="23">
        <f>($O108*Q$2)</f>
        <v/>
      </c>
      <c r="R108" s="23">
        <f>($O108*R$2)</f>
        <v/>
      </c>
      <c r="S108" s="23">
        <f>($O108*S$2)</f>
        <v/>
      </c>
      <c r="T108" s="23">
        <f>($O108*T$2)</f>
        <v/>
      </c>
      <c r="U108" s="23">
        <f>($O108*U$2)</f>
        <v/>
      </c>
      <c r="V108" s="23">
        <f>($O108*V$2)</f>
        <v/>
      </c>
      <c r="W108" s="23">
        <f>($O108*W$2)</f>
        <v/>
      </c>
      <c r="X108" s="23">
        <f>($O108*X$2)</f>
        <v/>
      </c>
      <c r="Y108" s="23">
        <f>($O108*Y$2)</f>
        <v/>
      </c>
      <c r="Z108" s="23">
        <f>($O108*Z$2)</f>
        <v/>
      </c>
      <c r="AA108" s="23">
        <f>($O108*AA$2)</f>
        <v/>
      </c>
      <c r="AB108" s="23">
        <f>($O108*AB$2)</f>
        <v/>
      </c>
      <c r="AC108" s="23">
        <f>($O108*AC$2)</f>
        <v/>
      </c>
      <c r="AD108" s="23">
        <f>($O108*AD$2)</f>
        <v/>
      </c>
      <c r="AE108" s="23">
        <f>($O108*AE$2)</f>
        <v/>
      </c>
      <c r="AF108" s="13">
        <f>($O108*AF$2)</f>
        <v/>
      </c>
      <c r="AG108" s="94">
        <f>(AH108/O108)</f>
        <v/>
      </c>
      <c r="AH108" s="102" t="n">
        <v>15</v>
      </c>
      <c r="AI108" s="103">
        <f>(AH108*1.5)</f>
        <v/>
      </c>
      <c r="AJ108" s="104">
        <f>(AH108*2)</f>
        <v/>
      </c>
      <c r="AK108" s="119">
        <f>(AJ108+2)</f>
        <v/>
      </c>
      <c r="AL108" s="106">
        <f>(AH108*2.5)</f>
        <v/>
      </c>
      <c r="AM108" s="107">
        <f>(AH108*N108)*0.7</f>
        <v/>
      </c>
      <c r="AN108" s="55">
        <f>(1-(AO108)/(AH108*N108))</f>
        <v/>
      </c>
      <c r="AO108" s="107">
        <f>FLOOR(AM108,100)</f>
        <v/>
      </c>
      <c r="AP108" s="36" t="inlineStr">
        <is>
          <t>Reposado</t>
        </is>
      </c>
      <c r="AQ108" s="76" t="n"/>
    </row>
    <row r="109" ht="15" customHeight="1" thickBot="1">
      <c r="A109" s="75">
        <f>(A108+1)</f>
        <v/>
      </c>
      <c r="B109" s="36" t="inlineStr">
        <is>
          <t xml:space="preserve">Tierra Noble   </t>
        </is>
      </c>
      <c r="C109" s="36" t="n">
        <v>161374</v>
      </c>
      <c r="D109" s="122" t="n">
        <v>0</v>
      </c>
      <c r="E109" s="122" t="n">
        <v>33.74</v>
      </c>
      <c r="F109" s="36" t="n">
        <v>0</v>
      </c>
      <c r="G109" s="36" t="n">
        <v>0</v>
      </c>
      <c r="H109" s="36" t="n">
        <v>1</v>
      </c>
      <c r="I109" s="36" t="n">
        <v>1</v>
      </c>
      <c r="J109" s="122" t="n">
        <v>33.74</v>
      </c>
      <c r="K109" s="36" t="n">
        <v>33.74</v>
      </c>
      <c r="L109" s="122">
        <f>(E109+(15%*E109))</f>
        <v/>
      </c>
      <c r="M109" s="36" t="n">
        <v>750</v>
      </c>
      <c r="N109" s="123">
        <f>(M109/29.5735)</f>
        <v/>
      </c>
      <c r="O109" s="124">
        <f>(L109/N109)</f>
        <v/>
      </c>
      <c r="P109" s="23">
        <f>($O109*P$2)</f>
        <v/>
      </c>
      <c r="Q109" s="23">
        <f>($O109*Q$2)</f>
        <v/>
      </c>
      <c r="R109" s="23">
        <f>($O109*R$2)</f>
        <v/>
      </c>
      <c r="S109" s="23">
        <f>($O109*S$2)</f>
        <v/>
      </c>
      <c r="T109" s="23">
        <f>($O109*T$2)</f>
        <v/>
      </c>
      <c r="U109" s="23">
        <f>($O109*U$2)</f>
        <v/>
      </c>
      <c r="V109" s="23">
        <f>($O109*V$2)</f>
        <v/>
      </c>
      <c r="W109" s="23">
        <f>($O109*W$2)</f>
        <v/>
      </c>
      <c r="X109" s="23">
        <f>($O109*X$2)</f>
        <v/>
      </c>
      <c r="Y109" s="23">
        <f>($O109*Y$2)</f>
        <v/>
      </c>
      <c r="Z109" s="23">
        <f>($O109*Z$2)</f>
        <v/>
      </c>
      <c r="AA109" s="23">
        <f>($O109*AA$2)</f>
        <v/>
      </c>
      <c r="AB109" s="23">
        <f>($O109*AB$2)</f>
        <v/>
      </c>
      <c r="AC109" s="23">
        <f>($O109*AC$2)</f>
        <v/>
      </c>
      <c r="AD109" s="23">
        <f>($O109*AD$2)</f>
        <v/>
      </c>
      <c r="AE109" s="23">
        <f>($O109*AE$2)</f>
        <v/>
      </c>
      <c r="AF109" s="13">
        <f>($O109*AF$2)</f>
        <v/>
      </c>
      <c r="AG109" s="94">
        <f>(AH109/O109)</f>
        <v/>
      </c>
      <c r="AH109" s="102" t="n">
        <v>14</v>
      </c>
      <c r="AI109" s="103">
        <f>(AH109*1.5)</f>
        <v/>
      </c>
      <c r="AJ109" s="104">
        <f>(AH109*2)</f>
        <v/>
      </c>
      <c r="AK109" s="119">
        <f>(AJ109+2)</f>
        <v/>
      </c>
      <c r="AL109" s="106">
        <f>(AH109*2.5)</f>
        <v/>
      </c>
      <c r="AM109" s="107">
        <f>(AH109*N109)*0.7</f>
        <v/>
      </c>
      <c r="AN109" s="55">
        <f>(1-(AO109)/(AH109*N109))</f>
        <v/>
      </c>
      <c r="AO109" s="107">
        <f>FLOOR(AM109,100)</f>
        <v/>
      </c>
      <c r="AP109" s="36" t="inlineStr">
        <is>
          <t>Reposado</t>
        </is>
      </c>
      <c r="AQ109" s="76" t="n"/>
    </row>
    <row r="110" ht="15" customHeight="1" thickBot="1">
      <c r="A110" s="75">
        <f>(A109+1)</f>
        <v/>
      </c>
      <c r="B110" s="36" t="inlineStr">
        <is>
          <t xml:space="preserve">Corralejo   </t>
        </is>
      </c>
      <c r="C110" s="36" t="n">
        <v>841009</v>
      </c>
      <c r="D110" s="122" t="n">
        <v>0</v>
      </c>
      <c r="E110" s="122" t="n">
        <v>31.22</v>
      </c>
      <c r="F110" s="36" t="n">
        <v>0</v>
      </c>
      <c r="G110" s="36" t="n">
        <v>0</v>
      </c>
      <c r="H110" s="36" t="n">
        <v>1</v>
      </c>
      <c r="I110" s="36" t="n">
        <v>1</v>
      </c>
      <c r="J110" s="122" t="n">
        <v>31.22</v>
      </c>
      <c r="K110" s="36" t="n">
        <v>28.59</v>
      </c>
      <c r="L110" s="122">
        <f>(E110+(15%*E110))</f>
        <v/>
      </c>
      <c r="M110" s="36" t="n">
        <v>750</v>
      </c>
      <c r="N110" s="123">
        <f>(M110/29.5735)</f>
        <v/>
      </c>
      <c r="O110" s="124">
        <f>(L110/N110)</f>
        <v/>
      </c>
      <c r="P110" s="23">
        <f>($O110*P$2)</f>
        <v/>
      </c>
      <c r="Q110" s="23">
        <f>($O110*Q$2)</f>
        <v/>
      </c>
      <c r="R110" s="23">
        <f>($O110*R$2)</f>
        <v/>
      </c>
      <c r="S110" s="23">
        <f>($O110*S$2)</f>
        <v/>
      </c>
      <c r="T110" s="23">
        <f>($O110*T$2)</f>
        <v/>
      </c>
      <c r="U110" s="23">
        <f>($O110*U$2)</f>
        <v/>
      </c>
      <c r="V110" s="23">
        <f>($O110*V$2)</f>
        <v/>
      </c>
      <c r="W110" s="23">
        <f>($O110*W$2)</f>
        <v/>
      </c>
      <c r="X110" s="23">
        <f>($O110*X$2)</f>
        <v/>
      </c>
      <c r="Y110" s="23">
        <f>($O110*Y$2)</f>
        <v/>
      </c>
      <c r="Z110" s="23">
        <f>($O110*Z$2)</f>
        <v/>
      </c>
      <c r="AA110" s="23">
        <f>($O110*AA$2)</f>
        <v/>
      </c>
      <c r="AB110" s="23">
        <f>($O110*AB$2)</f>
        <v/>
      </c>
      <c r="AC110" s="23">
        <f>($O110*AC$2)</f>
        <v/>
      </c>
      <c r="AD110" s="23">
        <f>($O110*AD$2)</f>
        <v/>
      </c>
      <c r="AE110" s="23">
        <f>($O110*AE$2)</f>
        <v/>
      </c>
      <c r="AF110" s="13">
        <f>($O110*AF$2)</f>
        <v/>
      </c>
      <c r="AG110" s="94">
        <f>(AH110/O110)</f>
        <v/>
      </c>
      <c r="AH110" s="102" t="n">
        <v>13</v>
      </c>
      <c r="AI110" s="103">
        <f>(AH110*1.5)</f>
        <v/>
      </c>
      <c r="AJ110" s="104">
        <f>(AH110*2)</f>
        <v/>
      </c>
      <c r="AK110" s="119">
        <f>(AJ110+2)</f>
        <v/>
      </c>
      <c r="AL110" s="106">
        <f>(AH110*2.5)</f>
        <v/>
      </c>
      <c r="AM110" s="107">
        <f>(AH110*N110)*0.7</f>
        <v/>
      </c>
      <c r="AN110" s="55">
        <f>(1-(AO110)/(AH110*N110))</f>
        <v/>
      </c>
      <c r="AO110" s="107">
        <f>FLOOR(AM110,100)</f>
        <v/>
      </c>
      <c r="AP110" s="36" t="inlineStr">
        <is>
          <t>Reposado</t>
        </is>
      </c>
      <c r="AQ110" s="76" t="n"/>
    </row>
    <row r="111" ht="15" customHeight="1" thickBot="1">
      <c r="A111" s="75">
        <f>(A110+1)</f>
        <v/>
      </c>
      <c r="B111" s="36" t="inlineStr">
        <is>
          <t xml:space="preserve">Olmeca Altos   </t>
        </is>
      </c>
      <c r="C111" s="36" t="n">
        <v>298831</v>
      </c>
      <c r="D111" s="122" t="n">
        <v>0</v>
      </c>
      <c r="E111" s="122" t="n">
        <v>26.51</v>
      </c>
      <c r="F111" s="36" t="n">
        <v>0</v>
      </c>
      <c r="G111" s="36" t="n">
        <v>0</v>
      </c>
      <c r="H111" s="36" t="n">
        <v>2</v>
      </c>
      <c r="I111" s="36" t="n">
        <v>2</v>
      </c>
      <c r="J111" s="122" t="n">
        <v>58.28</v>
      </c>
      <c r="K111" s="36" t="n">
        <v>53.02</v>
      </c>
      <c r="L111" s="122">
        <f>(E111+(15%*E111))</f>
        <v/>
      </c>
      <c r="M111" s="36" t="n">
        <v>750</v>
      </c>
      <c r="N111" s="123">
        <f>(M111/29.5735)</f>
        <v/>
      </c>
      <c r="O111" s="124">
        <f>(L111/N111)</f>
        <v/>
      </c>
      <c r="P111" s="23">
        <f>($O111*P$2)</f>
        <v/>
      </c>
      <c r="Q111" s="23">
        <f>($O111*Q$2)</f>
        <v/>
      </c>
      <c r="R111" s="23">
        <f>($O111*R$2)</f>
        <v/>
      </c>
      <c r="S111" s="23">
        <f>($O111*S$2)</f>
        <v/>
      </c>
      <c r="T111" s="23">
        <f>($O111*T$2)</f>
        <v/>
      </c>
      <c r="U111" s="23">
        <f>($O111*U$2)</f>
        <v/>
      </c>
      <c r="V111" s="23">
        <f>($O111*V$2)</f>
        <v/>
      </c>
      <c r="W111" s="23">
        <f>($O111*W$2)</f>
        <v/>
      </c>
      <c r="X111" s="23">
        <f>($O111*X$2)</f>
        <v/>
      </c>
      <c r="Y111" s="23">
        <f>($O111*Y$2)</f>
        <v/>
      </c>
      <c r="Z111" s="23">
        <f>($O111*Z$2)</f>
        <v/>
      </c>
      <c r="AA111" s="23">
        <f>($O111*AA$2)</f>
        <v/>
      </c>
      <c r="AB111" s="23">
        <f>($O111*AB$2)</f>
        <v/>
      </c>
      <c r="AC111" s="23">
        <f>($O111*AC$2)</f>
        <v/>
      </c>
      <c r="AD111" s="23">
        <f>($O111*AD$2)</f>
        <v/>
      </c>
      <c r="AE111" s="23">
        <f>($O111*AE$2)</f>
        <v/>
      </c>
      <c r="AF111" s="13">
        <f>($O111*AF$2)</f>
        <v/>
      </c>
      <c r="AG111" s="94">
        <f>(AH111/O111)</f>
        <v/>
      </c>
      <c r="AH111" s="102">
        <f>(O111*10)</f>
        <v/>
      </c>
      <c r="AI111" s="103">
        <f>(AH111*1.5)</f>
        <v/>
      </c>
      <c r="AJ111" s="104">
        <f>(AH111*2)</f>
        <v/>
      </c>
      <c r="AK111" s="119">
        <f>(AJ111+2)</f>
        <v/>
      </c>
      <c r="AL111" s="106">
        <f>(AH111*2.5)</f>
        <v/>
      </c>
      <c r="AM111" s="107">
        <f>(AH111*N111)*0.7</f>
        <v/>
      </c>
      <c r="AN111" s="55">
        <f>(1-(AO111)/(AH111*N111))</f>
        <v/>
      </c>
      <c r="AO111" s="107">
        <f>FLOOR(AM111,100)</f>
        <v/>
      </c>
      <c r="AP111" s="36" t="inlineStr">
        <is>
          <t>Reposado</t>
        </is>
      </c>
      <c r="AQ111" s="76" t="n"/>
    </row>
    <row r="112" ht="15" customHeight="1" thickBot="1">
      <c r="A112" s="75">
        <f>(A111+1)</f>
        <v/>
      </c>
      <c r="B112" s="36" t="inlineStr">
        <is>
          <t xml:space="preserve">Espanita   </t>
        </is>
      </c>
      <c r="C112" s="36" t="n">
        <v>3315</v>
      </c>
      <c r="D112" s="122" t="n">
        <v>0</v>
      </c>
      <c r="E112" s="122" t="n">
        <v>24.51</v>
      </c>
      <c r="F112" s="36" t="n">
        <v>0</v>
      </c>
      <c r="G112" s="36" t="n">
        <v>0</v>
      </c>
      <c r="H112" s="36" t="n">
        <v>2</v>
      </c>
      <c r="I112" s="36" t="n">
        <v>2</v>
      </c>
      <c r="J112" s="122" t="n">
        <v>51.12</v>
      </c>
      <c r="K112" s="36" t="n">
        <v>49.02</v>
      </c>
      <c r="L112" s="122">
        <f>(E112+(15%*E112))</f>
        <v/>
      </c>
      <c r="M112" s="36" t="n">
        <v>750</v>
      </c>
      <c r="N112" s="123">
        <f>(M112/29.5735)</f>
        <v/>
      </c>
      <c r="O112" s="124">
        <f>(L112/N112)</f>
        <v/>
      </c>
      <c r="P112" s="23">
        <f>($O112*P$2)</f>
        <v/>
      </c>
      <c r="Q112" s="23">
        <f>($O112*Q$2)</f>
        <v/>
      </c>
      <c r="R112" s="23">
        <f>($O112*R$2)</f>
        <v/>
      </c>
      <c r="S112" s="23">
        <f>($O112*S$2)</f>
        <v/>
      </c>
      <c r="T112" s="23">
        <f>($O112*T$2)</f>
        <v/>
      </c>
      <c r="U112" s="23">
        <f>($O112*U$2)</f>
        <v/>
      </c>
      <c r="V112" s="23">
        <f>($O112*V$2)</f>
        <v/>
      </c>
      <c r="W112" s="23">
        <f>($O112*W$2)</f>
        <v/>
      </c>
      <c r="X112" s="23">
        <f>($O112*X$2)</f>
        <v/>
      </c>
      <c r="Y112" s="23">
        <f>($O112*Y$2)</f>
        <v/>
      </c>
      <c r="Z112" s="23">
        <f>($O112*Z$2)</f>
        <v/>
      </c>
      <c r="AA112" s="23">
        <f>($O112*AA$2)</f>
        <v/>
      </c>
      <c r="AB112" s="23">
        <f>($O112*AB$2)</f>
        <v/>
      </c>
      <c r="AC112" s="23">
        <f>($O112*AC$2)</f>
        <v/>
      </c>
      <c r="AD112" s="23">
        <f>($O112*AD$2)</f>
        <v/>
      </c>
      <c r="AE112" s="23">
        <f>($O112*AE$2)</f>
        <v/>
      </c>
      <c r="AF112" s="13">
        <f>($O112*AF$2)</f>
        <v/>
      </c>
      <c r="AG112" s="94">
        <f>(AH112/O112)</f>
        <v/>
      </c>
      <c r="AH112" s="102">
        <f>(O112*10)</f>
        <v/>
      </c>
      <c r="AI112" s="103">
        <f>(AH112*1.5)</f>
        <v/>
      </c>
      <c r="AJ112" s="104">
        <f>(AH112*2)</f>
        <v/>
      </c>
      <c r="AK112" s="119">
        <f>(AJ112+2)</f>
        <v/>
      </c>
      <c r="AL112" s="106">
        <f>(AH112*2.5)</f>
        <v/>
      </c>
      <c r="AM112" s="107">
        <f>(AH112*N112)*0.7</f>
        <v/>
      </c>
      <c r="AN112" s="55">
        <f>(1-(AO112)/(AH112*N112))</f>
        <v/>
      </c>
      <c r="AO112" s="107">
        <f>FLOOR(AM112,100)</f>
        <v/>
      </c>
      <c r="AP112" s="36" t="inlineStr">
        <is>
          <t>Reposado</t>
        </is>
      </c>
      <c r="AQ112" s="76" t="n"/>
    </row>
    <row r="113" ht="15" customHeight="1" thickBot="1">
      <c r="A113" s="75">
        <f>(A112+1)</f>
        <v/>
      </c>
      <c r="B113" s="36" t="inlineStr">
        <is>
          <t xml:space="preserve">Cazadores   </t>
        </is>
      </c>
      <c r="C113" s="36" t="n">
        <v>835009</v>
      </c>
      <c r="D113" s="122" t="n">
        <v>0</v>
      </c>
      <c r="E113" s="122" t="n">
        <v>22.88</v>
      </c>
      <c r="F113" s="36" t="n">
        <v>0</v>
      </c>
      <c r="G113" s="36" t="n">
        <v>0</v>
      </c>
      <c r="H113" s="36" t="n">
        <v>1</v>
      </c>
      <c r="I113" s="36" t="n">
        <v>1</v>
      </c>
      <c r="J113" s="122" t="n">
        <v>25.5</v>
      </c>
      <c r="K113" s="36" t="n">
        <v>22.88</v>
      </c>
      <c r="L113" s="122">
        <f>(E113+(15%*E113))</f>
        <v/>
      </c>
      <c r="M113" s="36" t="n">
        <v>750</v>
      </c>
      <c r="N113" s="123">
        <f>(M113/29.5735)</f>
        <v/>
      </c>
      <c r="O113" s="124">
        <f>(L113/N113)</f>
        <v/>
      </c>
      <c r="P113" s="23">
        <f>($O113*P$2)</f>
        <v/>
      </c>
      <c r="Q113" s="23">
        <f>($O113*Q$2)</f>
        <v/>
      </c>
      <c r="R113" s="23">
        <f>($O113*R$2)</f>
        <v/>
      </c>
      <c r="S113" s="23">
        <f>($O113*S$2)</f>
        <v/>
      </c>
      <c r="T113" s="23">
        <f>($O113*T$2)</f>
        <v/>
      </c>
      <c r="U113" s="23">
        <f>($O113*U$2)</f>
        <v/>
      </c>
      <c r="V113" s="23">
        <f>($O113*V$2)</f>
        <v/>
      </c>
      <c r="W113" s="23">
        <f>($O113*W$2)</f>
        <v/>
      </c>
      <c r="X113" s="23">
        <f>($O113*X$2)</f>
        <v/>
      </c>
      <c r="Y113" s="23">
        <f>($O113*Y$2)</f>
        <v/>
      </c>
      <c r="Z113" s="23">
        <f>($O113*Z$2)</f>
        <v/>
      </c>
      <c r="AA113" s="23">
        <f>($O113*AA$2)</f>
        <v/>
      </c>
      <c r="AB113" s="23">
        <f>($O113*AB$2)</f>
        <v/>
      </c>
      <c r="AC113" s="23">
        <f>($O113*AC$2)</f>
        <v/>
      </c>
      <c r="AD113" s="23">
        <f>($O113*AD$2)</f>
        <v/>
      </c>
      <c r="AE113" s="23">
        <f>($O113*AE$2)</f>
        <v/>
      </c>
      <c r="AF113" s="13">
        <f>($O113*AF$2)</f>
        <v/>
      </c>
      <c r="AG113" s="94">
        <f>(AH113/O113)</f>
        <v/>
      </c>
      <c r="AH113" s="102">
        <f>(O113*10)</f>
        <v/>
      </c>
      <c r="AI113" s="103">
        <f>(AH113*1.5)</f>
        <v/>
      </c>
      <c r="AJ113" s="104">
        <f>(AH113*2)</f>
        <v/>
      </c>
      <c r="AK113" s="119">
        <f>(AJ113+2)</f>
        <v/>
      </c>
      <c r="AL113" s="106">
        <f>(AH113*2.5)</f>
        <v/>
      </c>
      <c r="AM113" s="107">
        <f>(AH113*N113)*0.7</f>
        <v/>
      </c>
      <c r="AN113" s="55">
        <f>(1-(AO113)/(AH113*N113))</f>
        <v/>
      </c>
      <c r="AO113" s="107">
        <f>FLOOR(AM113,100)</f>
        <v/>
      </c>
      <c r="AP113" s="36" t="inlineStr">
        <is>
          <t>Reposado</t>
        </is>
      </c>
      <c r="AQ113" s="76" t="n"/>
    </row>
    <row r="114" ht="15" customHeight="1" thickBot="1">
      <c r="A114" s="75">
        <f>(A113+1)</f>
        <v/>
      </c>
      <c r="B114" s="36" t="inlineStr">
        <is>
          <t xml:space="preserve">Camarena   </t>
        </is>
      </c>
      <c r="C114" s="36" t="n">
        <v>162926</v>
      </c>
      <c r="D114" s="122" t="n">
        <v>0</v>
      </c>
      <c r="E114" s="122" t="n">
        <v>20.43</v>
      </c>
      <c r="F114" s="36" t="n">
        <v>0</v>
      </c>
      <c r="G114" s="36" t="n">
        <v>0</v>
      </c>
      <c r="H114" s="36" t="n">
        <v>1</v>
      </c>
      <c r="I114" s="36" t="n">
        <v>1</v>
      </c>
      <c r="J114" s="122" t="n">
        <v>23.06</v>
      </c>
      <c r="K114" s="36" t="n">
        <v>20.43</v>
      </c>
      <c r="L114" s="122">
        <f>(E114+(15%*E114))</f>
        <v/>
      </c>
      <c r="M114" s="36" t="n">
        <v>750</v>
      </c>
      <c r="N114" s="123">
        <f>(M114/29.5735)</f>
        <v/>
      </c>
      <c r="O114" s="124">
        <f>(L114/N114)</f>
        <v/>
      </c>
      <c r="P114" s="23">
        <f>($O114*P$2)</f>
        <v/>
      </c>
      <c r="Q114" s="23">
        <f>($O114*Q$2)</f>
        <v/>
      </c>
      <c r="R114" s="23">
        <f>($O114*R$2)</f>
        <v/>
      </c>
      <c r="S114" s="23">
        <f>($O114*S$2)</f>
        <v/>
      </c>
      <c r="T114" s="23">
        <f>($O114*T$2)</f>
        <v/>
      </c>
      <c r="U114" s="23">
        <f>($O114*U$2)</f>
        <v/>
      </c>
      <c r="V114" s="23">
        <f>($O114*V$2)</f>
        <v/>
      </c>
      <c r="W114" s="23">
        <f>($O114*W$2)</f>
        <v/>
      </c>
      <c r="X114" s="23">
        <f>($O114*X$2)</f>
        <v/>
      </c>
      <c r="Y114" s="23">
        <f>($O114*Y$2)</f>
        <v/>
      </c>
      <c r="Z114" s="23">
        <f>($O114*Z$2)</f>
        <v/>
      </c>
      <c r="AA114" s="23">
        <f>($O114*AA$2)</f>
        <v/>
      </c>
      <c r="AB114" s="23">
        <f>($O114*AB$2)</f>
        <v/>
      </c>
      <c r="AC114" s="23">
        <f>($O114*AC$2)</f>
        <v/>
      </c>
      <c r="AD114" s="23">
        <f>($O114*AD$2)</f>
        <v/>
      </c>
      <c r="AE114" s="23">
        <f>($O114*AE$2)</f>
        <v/>
      </c>
      <c r="AF114" s="13">
        <f>($O114*AF$2)</f>
        <v/>
      </c>
      <c r="AG114" s="94">
        <f>(AH114/O114)</f>
        <v/>
      </c>
      <c r="AH114" s="102">
        <f>(O114*10)</f>
        <v/>
      </c>
      <c r="AI114" s="103">
        <f>(AH114*1.5)</f>
        <v/>
      </c>
      <c r="AJ114" s="104">
        <f>(AH114*2)</f>
        <v/>
      </c>
      <c r="AK114" s="119">
        <f>(AJ114+2)</f>
        <v/>
      </c>
      <c r="AL114" s="106">
        <f>(AH114*2.5)</f>
        <v/>
      </c>
      <c r="AM114" s="107">
        <f>(AH114*N114)*0.7</f>
        <v/>
      </c>
      <c r="AN114" s="55">
        <f>(1-(AO114)/(AH114*N114))</f>
        <v/>
      </c>
      <c r="AO114" s="107">
        <f>FLOOR(AM114,100)</f>
        <v/>
      </c>
      <c r="AP114" s="36" t="inlineStr">
        <is>
          <t>Reposado</t>
        </is>
      </c>
      <c r="AQ114" s="76" t="n"/>
    </row>
    <row r="115" ht="15" customHeight="1" thickBot="1">
      <c r="A115" s="75">
        <f>(A114+1)</f>
        <v/>
      </c>
      <c r="B115" s="36" t="inlineStr">
        <is>
          <t xml:space="preserve">Cimarron   </t>
        </is>
      </c>
      <c r="C115" s="36" t="n">
        <v>19911007</v>
      </c>
      <c r="D115" s="122" t="n">
        <v>0</v>
      </c>
      <c r="E115" s="122" t="n">
        <v>27.96</v>
      </c>
      <c r="F115" s="36" t="n">
        <v>0</v>
      </c>
      <c r="G115" s="36" t="n">
        <v>0</v>
      </c>
      <c r="H115" s="36" t="n">
        <v>2</v>
      </c>
      <c r="I115" s="36" t="n">
        <v>2</v>
      </c>
      <c r="J115" s="122" t="n">
        <v>55.92</v>
      </c>
      <c r="K115" s="36" t="n">
        <v>50.68</v>
      </c>
      <c r="L115" s="122">
        <f>(E115+(15%*E115))</f>
        <v/>
      </c>
      <c r="M115" s="36" t="n">
        <v>1000</v>
      </c>
      <c r="N115" s="123">
        <f>(M115/29.5735)</f>
        <v/>
      </c>
      <c r="O115" s="124">
        <f>(L115/N115)</f>
        <v/>
      </c>
      <c r="P115" s="23">
        <f>($O115*P$2)</f>
        <v/>
      </c>
      <c r="Q115" s="23">
        <f>($O115*Q$2)</f>
        <v/>
      </c>
      <c r="R115" s="23">
        <f>($O115*R$2)</f>
        <v/>
      </c>
      <c r="S115" s="23">
        <f>($O115*S$2)</f>
        <v/>
      </c>
      <c r="T115" s="23">
        <f>($O115*T$2)</f>
        <v/>
      </c>
      <c r="U115" s="23">
        <f>($O115*U$2)</f>
        <v/>
      </c>
      <c r="V115" s="23">
        <f>($O115*V$2)</f>
        <v/>
      </c>
      <c r="W115" s="23">
        <f>($O115*W$2)</f>
        <v/>
      </c>
      <c r="X115" s="23">
        <f>($O115*X$2)</f>
        <v/>
      </c>
      <c r="Y115" s="23">
        <f>($O115*Y$2)</f>
        <v/>
      </c>
      <c r="Z115" s="23">
        <f>($O115*Z$2)</f>
        <v/>
      </c>
      <c r="AA115" s="23">
        <f>($O115*AA$2)</f>
        <v/>
      </c>
      <c r="AB115" s="23">
        <f>($O115*AB$2)</f>
        <v/>
      </c>
      <c r="AC115" s="23">
        <f>($O115*AC$2)</f>
        <v/>
      </c>
      <c r="AD115" s="23">
        <f>($O115*AD$2)</f>
        <v/>
      </c>
      <c r="AE115" s="23">
        <f>($O115*AE$2)</f>
        <v/>
      </c>
      <c r="AF115" s="13">
        <f>($O115*AF$2)</f>
        <v/>
      </c>
      <c r="AG115" s="94">
        <f>(AH115/O115)</f>
        <v/>
      </c>
      <c r="AH115" s="102" t="n">
        <v>9</v>
      </c>
      <c r="AI115" s="103">
        <f>(AH115*1.5)</f>
        <v/>
      </c>
      <c r="AJ115" s="104">
        <f>(AH115*2)</f>
        <v/>
      </c>
      <c r="AK115" s="119">
        <f>(AJ115+2)</f>
        <v/>
      </c>
      <c r="AL115" s="106">
        <f>(AH115*2.5)</f>
        <v/>
      </c>
      <c r="AM115" s="107">
        <f>(AH115*N115)*0.7</f>
        <v/>
      </c>
      <c r="AN115" s="55">
        <f>(1-(AO115)/(AH115*N115))</f>
        <v/>
      </c>
      <c r="AO115" s="107">
        <f>FLOOR(AM115,100)</f>
        <v/>
      </c>
      <c r="AP115" s="36" t="inlineStr">
        <is>
          <t>Reposado</t>
        </is>
      </c>
      <c r="AQ115" s="76" t="n"/>
    </row>
    <row r="116" ht="15" customFormat="1" customHeight="1" s="3" thickBot="1">
      <c r="A116" s="20">
        <f>(A115+1)</f>
        <v/>
      </c>
      <c r="B116" s="78" t="inlineStr">
        <is>
          <t xml:space="preserve">Don Julio Primavera  </t>
        </is>
      </c>
      <c r="C116" s="78" t="n">
        <v>26954009</v>
      </c>
      <c r="D116" s="125" t="n">
        <v>0</v>
      </c>
      <c r="E116" s="125" t="n">
        <v>67.98999999999999</v>
      </c>
      <c r="F116" s="78" t="n">
        <v>0</v>
      </c>
      <c r="G116" s="78" t="n">
        <v>0</v>
      </c>
      <c r="H116" s="78" t="n">
        <v>1</v>
      </c>
      <c r="I116" s="78" t="n">
        <v>1</v>
      </c>
      <c r="J116" s="125" t="n">
        <v>67.98999999999999</v>
      </c>
      <c r="K116" s="78" t="n">
        <v>65.36</v>
      </c>
      <c r="L116" s="125">
        <f>(E116+(15%*E116))</f>
        <v/>
      </c>
      <c r="M116" s="78" t="n">
        <v>750</v>
      </c>
      <c r="N116" s="126">
        <f>(M116/29.5735)</f>
        <v/>
      </c>
      <c r="O116" s="127">
        <f>(L116/N116)</f>
        <v/>
      </c>
      <c r="P116" s="81">
        <f>($O116*P$2)</f>
        <v/>
      </c>
      <c r="Q116" s="81">
        <f>($O116*Q$2)</f>
        <v/>
      </c>
      <c r="R116" s="81">
        <f>($O116*R$2)</f>
        <v/>
      </c>
      <c r="S116" s="81">
        <f>($O116*S$2)</f>
        <v/>
      </c>
      <c r="T116" s="81">
        <f>($O116*T$2)</f>
        <v/>
      </c>
      <c r="U116" s="81">
        <f>($O116*U$2)</f>
        <v/>
      </c>
      <c r="V116" s="81">
        <f>($O116*V$2)</f>
        <v/>
      </c>
      <c r="W116" s="81">
        <f>($O116*W$2)</f>
        <v/>
      </c>
      <c r="X116" s="81">
        <f>($O116*X$2)</f>
        <v/>
      </c>
      <c r="Y116" s="81">
        <f>($O116*Y$2)</f>
        <v/>
      </c>
      <c r="Z116" s="81">
        <f>($O116*Z$2)</f>
        <v/>
      </c>
      <c r="AA116" s="81">
        <f>($O116*AA$2)</f>
        <v/>
      </c>
      <c r="AB116" s="81">
        <f>($O116*AB$2)</f>
        <v/>
      </c>
      <c r="AC116" s="81">
        <f>($O116*AC$2)</f>
        <v/>
      </c>
      <c r="AD116" s="81">
        <f>($O116*AD$2)</f>
        <v/>
      </c>
      <c r="AE116" s="14">
        <f>($O116*AE$2)</f>
        <v/>
      </c>
      <c r="AF116" s="81">
        <f>($O116*AF$2)</f>
        <v/>
      </c>
      <c r="AG116" s="128">
        <f>(AH116/O116)</f>
        <v/>
      </c>
      <c r="AH116" s="129" t="n">
        <v>27</v>
      </c>
      <c r="AI116" s="130">
        <f>(AH116*1.5)</f>
        <v/>
      </c>
      <c r="AJ116" s="131">
        <f>(AH116*2)</f>
        <v/>
      </c>
      <c r="AK116" s="119">
        <f>(AJ116+2)</f>
        <v/>
      </c>
      <c r="AL116" s="132">
        <f>(AH116*2.5)</f>
        <v/>
      </c>
      <c r="AM116" s="133">
        <f>(AH116*N116)*0.7</f>
        <v/>
      </c>
      <c r="AN116" s="88">
        <f>(1-(AO116)/(AH116*N116))</f>
        <v/>
      </c>
      <c r="AO116" s="133">
        <f>FLOOR(AM116,100)</f>
        <v/>
      </c>
      <c r="AP116" s="78" t="inlineStr">
        <is>
          <t>Reposado</t>
        </is>
      </c>
      <c r="AQ116" s="89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</row>
    <row r="117" ht="15" customFormat="1" customHeight="1" s="3" thickBot="1">
      <c r="A117" s="18">
        <f>(A116+1)</f>
        <v/>
      </c>
      <c r="B117" s="63" t="inlineStr">
        <is>
          <t xml:space="preserve">Komos    </t>
        </is>
      </c>
      <c r="C117" s="63" t="n">
        <v>524860</v>
      </c>
      <c r="D117" s="112" t="n">
        <v>0</v>
      </c>
      <c r="E117" s="112" t="n">
        <v>102.14</v>
      </c>
      <c r="F117" s="63" t="n">
        <v>0</v>
      </c>
      <c r="G117" s="63" t="n">
        <v>0</v>
      </c>
      <c r="H117" s="63" t="n">
        <v>1</v>
      </c>
      <c r="I117" s="63" t="n">
        <v>1</v>
      </c>
      <c r="J117" s="112" t="n">
        <v>104.77</v>
      </c>
      <c r="K117" s="63" t="n">
        <v>102.14</v>
      </c>
      <c r="L117" s="112">
        <f>(E117+(15%*E117))</f>
        <v/>
      </c>
      <c r="M117" s="63" t="n">
        <v>750</v>
      </c>
      <c r="N117" s="113">
        <f>(M117/29.5735)</f>
        <v/>
      </c>
      <c r="O117" s="114">
        <f>(L117/N117)</f>
        <v/>
      </c>
      <c r="P117" s="66">
        <f>($O117*P$2)</f>
        <v/>
      </c>
      <c r="Q117" s="66">
        <f>($O117*Q$2)</f>
        <v/>
      </c>
      <c r="R117" s="66">
        <f>($O117*R$2)</f>
        <v/>
      </c>
      <c r="S117" s="66">
        <f>($O117*S$2)</f>
        <v/>
      </c>
      <c r="T117" s="66">
        <f>($O117*T$2)</f>
        <v/>
      </c>
      <c r="U117" s="66">
        <f>($O117*U$2)</f>
        <v/>
      </c>
      <c r="V117" s="66">
        <f>($O117*V$2)</f>
        <v/>
      </c>
      <c r="W117" s="66">
        <f>($O117*W$2)</f>
        <v/>
      </c>
      <c r="X117" s="66">
        <f>($O117*X$2)</f>
        <v/>
      </c>
      <c r="Y117" s="67">
        <f>($O117*Y$2)</f>
        <v/>
      </c>
      <c r="Z117" s="66">
        <f>($O117*Z$2)</f>
        <v/>
      </c>
      <c r="AA117" s="66">
        <f>($O117*AA$2)</f>
        <v/>
      </c>
      <c r="AB117" s="66">
        <f>($O117*AB$2)</f>
        <v/>
      </c>
      <c r="AC117" s="66">
        <f>($O117*AC$2)</f>
        <v/>
      </c>
      <c r="AD117" s="66">
        <f>($O117*AD$2)</f>
        <v/>
      </c>
      <c r="AE117" s="66">
        <f>($O117*AE$2)</f>
        <v/>
      </c>
      <c r="AF117" s="66">
        <f>($O117*AF$2)</f>
        <v/>
      </c>
      <c r="AG117" s="115">
        <f>(AH117/O117)</f>
        <v/>
      </c>
      <c r="AH117" s="116" t="n">
        <v>33</v>
      </c>
      <c r="AI117" s="117">
        <f>(AH117*1.5)</f>
        <v/>
      </c>
      <c r="AJ117" s="118">
        <f>(AH117*2)</f>
        <v/>
      </c>
      <c r="AK117" s="119">
        <f>(AJ117+2)</f>
        <v/>
      </c>
      <c r="AL117" s="120">
        <f>(AH117*2.5)</f>
        <v/>
      </c>
      <c r="AM117" s="121">
        <f>(AH117*N117)*0.7</f>
        <v/>
      </c>
      <c r="AN117" s="73">
        <f>(1-(AO117)/(AH117*N117))</f>
        <v/>
      </c>
      <c r="AO117" s="121">
        <f>FLOOR(AM117,100)</f>
        <v/>
      </c>
      <c r="AP117" s="63" t="inlineStr">
        <is>
          <t>Rosa</t>
        </is>
      </c>
      <c r="AQ117" s="74" t="inlineStr">
        <is>
          <t>Reposado</t>
        </is>
      </c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n"/>
      <c r="CD117" s="11" t="n"/>
      <c r="CE117" s="11" t="n"/>
      <c r="CF117" s="11" t="n"/>
      <c r="CG117" s="11" t="n"/>
      <c r="CH117" s="11" t="n"/>
      <c r="CI117" s="11" t="n"/>
    </row>
    <row r="118" ht="15" customHeight="1" thickBot="1">
      <c r="A118" s="75">
        <f>(A117+1)</f>
        <v/>
      </c>
      <c r="B118" s="36" t="inlineStr">
        <is>
          <t xml:space="preserve">Don Julio do   </t>
        </is>
      </c>
      <c r="C118" s="36" t="n">
        <v>30120009</v>
      </c>
      <c r="D118" s="122" t="n">
        <v>0</v>
      </c>
      <c r="E118" s="122" t="n">
        <v>102.13</v>
      </c>
      <c r="F118" s="36" t="n">
        <v>0</v>
      </c>
      <c r="G118" s="36" t="n">
        <v>0</v>
      </c>
      <c r="H118" s="36" t="n">
        <v>1</v>
      </c>
      <c r="I118" s="36" t="n">
        <v>1</v>
      </c>
      <c r="J118" s="122" t="n">
        <v>102.14</v>
      </c>
      <c r="K118" s="36" t="n">
        <v>102.13</v>
      </c>
      <c r="L118" s="122">
        <f>(E118+(15%*E118))</f>
        <v/>
      </c>
      <c r="M118" s="36" t="n">
        <v>750</v>
      </c>
      <c r="N118" s="123">
        <f>(M118/29.5735)</f>
        <v/>
      </c>
      <c r="O118" s="124">
        <f>(L118/N118)</f>
        <v/>
      </c>
      <c r="P118" s="23">
        <f>($O118*P$2)</f>
        <v/>
      </c>
      <c r="Q118" s="23">
        <f>($O118*Q$2)</f>
        <v/>
      </c>
      <c r="R118" s="23">
        <f>($O118*R$2)</f>
        <v/>
      </c>
      <c r="S118" s="23">
        <f>($O118*S$2)</f>
        <v/>
      </c>
      <c r="T118" s="23">
        <f>($O118*T$2)</f>
        <v/>
      </c>
      <c r="U118" s="23">
        <f>($O118*U$2)</f>
        <v/>
      </c>
      <c r="V118" s="23">
        <f>($O118*V$2)</f>
        <v/>
      </c>
      <c r="W118" s="23">
        <f>($O118*W$2)</f>
        <v/>
      </c>
      <c r="X118" s="23">
        <f>($O118*X$2)</f>
        <v/>
      </c>
      <c r="Y118" s="13">
        <f>($O118*Y$2)</f>
        <v/>
      </c>
      <c r="Z118" s="23">
        <f>($O118*Z$2)</f>
        <v/>
      </c>
      <c r="AA118" s="23">
        <f>($O118*AA$2)</f>
        <v/>
      </c>
      <c r="AB118" s="23">
        <f>($O118*AB$2)</f>
        <v/>
      </c>
      <c r="AC118" s="23">
        <f>($O118*AC$2)</f>
        <v/>
      </c>
      <c r="AD118" s="23">
        <f>($O118*AD$2)</f>
        <v/>
      </c>
      <c r="AE118" s="23">
        <f>($O118*AE$2)</f>
        <v/>
      </c>
      <c r="AF118" s="23">
        <f>($O118*AF$2)</f>
        <v/>
      </c>
      <c r="AG118" s="94">
        <f>(AH118/O118)</f>
        <v/>
      </c>
      <c r="AH118" s="102" t="n">
        <v>33</v>
      </c>
      <c r="AI118" s="103">
        <f>(AH118*1.5)</f>
        <v/>
      </c>
      <c r="AJ118" s="104">
        <f>(AH118*2)</f>
        <v/>
      </c>
      <c r="AK118" s="119">
        <f>(AJ118+2)</f>
        <v/>
      </c>
      <c r="AL118" s="106">
        <f>(AH118*2.5)</f>
        <v/>
      </c>
      <c r="AM118" s="107">
        <f>(AH118*N118)*0.7</f>
        <v/>
      </c>
      <c r="AN118" s="55">
        <f>(1-(AO118)/(AH118*N118))</f>
        <v/>
      </c>
      <c r="AO118" s="107">
        <f>FLOOR(AM118,100)</f>
        <v/>
      </c>
      <c r="AP118" s="36" t="inlineStr">
        <is>
          <t>Rosa</t>
        </is>
      </c>
      <c r="AQ118" s="76" t="inlineStr">
        <is>
          <t>Reposado</t>
        </is>
      </c>
    </row>
    <row r="119" ht="15" customHeight="1" thickBot="1">
      <c r="A119" s="75">
        <f>(A118+1)</f>
        <v/>
      </c>
      <c r="B119" s="36" t="inlineStr">
        <is>
          <t xml:space="preserve">Codigo 1530     </t>
        </is>
      </c>
      <c r="C119" s="36" t="n">
        <v>443216</v>
      </c>
      <c r="D119" s="122" t="n">
        <v>0</v>
      </c>
      <c r="E119" s="122" t="n">
        <v>50.86</v>
      </c>
      <c r="F119" s="36" t="n">
        <v>0</v>
      </c>
      <c r="G119" s="36" t="n">
        <v>0</v>
      </c>
      <c r="H119" s="36" t="n">
        <v>1</v>
      </c>
      <c r="I119" s="36" t="n">
        <v>1</v>
      </c>
      <c r="J119" s="122" t="n">
        <v>53.28</v>
      </c>
      <c r="K119" s="36" t="n">
        <v>50.86</v>
      </c>
      <c r="L119" s="122">
        <f>(E119+(15%*E119))</f>
        <v/>
      </c>
      <c r="M119" s="36" t="n">
        <v>750</v>
      </c>
      <c r="N119" s="123">
        <f>(M119/29.5735)</f>
        <v/>
      </c>
      <c r="O119" s="124">
        <f>(L119/N119)</f>
        <v/>
      </c>
      <c r="P119" s="23">
        <f>($O119*P$2)</f>
        <v/>
      </c>
      <c r="Q119" s="23">
        <f>($O119*Q$2)</f>
        <v/>
      </c>
      <c r="R119" s="23">
        <f>($O119*R$2)</f>
        <v/>
      </c>
      <c r="S119" s="23">
        <f>($O119*S$2)</f>
        <v/>
      </c>
      <c r="T119" s="23">
        <f>($O119*T$2)</f>
        <v/>
      </c>
      <c r="U119" s="23">
        <f>($O119*U$2)</f>
        <v/>
      </c>
      <c r="V119" s="23">
        <f>($O119*V$2)</f>
        <v/>
      </c>
      <c r="W119" s="23">
        <f>($O119*W$2)</f>
        <v/>
      </c>
      <c r="X119" s="23">
        <f>($O119*X$2)</f>
        <v/>
      </c>
      <c r="Y119" s="23">
        <f>($O119*Y$2)</f>
        <v/>
      </c>
      <c r="Z119" s="23">
        <f>($O119*Z$2)</f>
        <v/>
      </c>
      <c r="AA119" s="23">
        <f>($O119*AA$2)</f>
        <v/>
      </c>
      <c r="AB119" s="23">
        <f>($O119*AB$2)</f>
        <v/>
      </c>
      <c r="AC119" s="23">
        <f>($O119*AC$2)</f>
        <v/>
      </c>
      <c r="AD119" s="23">
        <f>($O119*AD$2)</f>
        <v/>
      </c>
      <c r="AE119" s="23">
        <f>($O119*AE$2)</f>
        <v/>
      </c>
      <c r="AF119" s="13">
        <f>($O119*AF$2)</f>
        <v/>
      </c>
      <c r="AG119" s="94">
        <f>(AH119/O119)</f>
        <v/>
      </c>
      <c r="AH119" s="102" t="n">
        <v>24</v>
      </c>
      <c r="AI119" s="103">
        <f>(AH119*1.5)</f>
        <v/>
      </c>
      <c r="AJ119" s="104">
        <f>(AH119*2)</f>
        <v/>
      </c>
      <c r="AK119" s="119">
        <f>(AJ119+2)</f>
        <v/>
      </c>
      <c r="AL119" s="106">
        <f>(AH119*2.5)</f>
        <v/>
      </c>
      <c r="AM119" s="107">
        <f>(AH119*N119)*0.7</f>
        <v/>
      </c>
      <c r="AN119" s="55">
        <f>(1-(AO119)/(AH119*N119))</f>
        <v/>
      </c>
      <c r="AO119" s="107">
        <f>FLOOR(AM119,100)</f>
        <v/>
      </c>
      <c r="AP119" s="36" t="inlineStr">
        <is>
          <t>Rosa</t>
        </is>
      </c>
      <c r="AQ119" s="76" t="inlineStr">
        <is>
          <t>Blanco</t>
        </is>
      </c>
    </row>
    <row r="120" ht="15" customFormat="1" customHeight="1" s="3" thickBot="1">
      <c r="A120" s="75">
        <f>(A119+1)</f>
        <v/>
      </c>
      <c r="B120" s="36" t="inlineStr">
        <is>
          <t xml:space="preserve">Asombroso    </t>
        </is>
      </c>
      <c r="C120" s="36" t="n">
        <v>31018009</v>
      </c>
      <c r="D120" s="122" t="n">
        <v>0</v>
      </c>
      <c r="E120" s="122" t="n">
        <v>36.76</v>
      </c>
      <c r="F120" s="36" t="n">
        <v>0</v>
      </c>
      <c r="G120" s="36" t="n">
        <v>0</v>
      </c>
      <c r="H120" s="36" t="n">
        <v>1</v>
      </c>
      <c r="I120" s="36" t="n">
        <v>1</v>
      </c>
      <c r="J120" s="122" t="n">
        <v>39.4</v>
      </c>
      <c r="K120" s="36" t="n">
        <v>36.76</v>
      </c>
      <c r="L120" s="122">
        <f>(E120+(15%*E120))</f>
        <v/>
      </c>
      <c r="M120" s="36" t="n">
        <v>750</v>
      </c>
      <c r="N120" s="123">
        <f>(M120/29.5735)</f>
        <v/>
      </c>
      <c r="O120" s="124">
        <f>(L120/N120)</f>
        <v/>
      </c>
      <c r="P120" s="23">
        <f>($O120*P$2)</f>
        <v/>
      </c>
      <c r="Q120" s="23">
        <f>($O120*Q$2)</f>
        <v/>
      </c>
      <c r="R120" s="23">
        <f>($O120*R$2)</f>
        <v/>
      </c>
      <c r="S120" s="23">
        <f>($O120*S$2)</f>
        <v/>
      </c>
      <c r="T120" s="23">
        <f>($O120*T$2)</f>
        <v/>
      </c>
      <c r="U120" s="23">
        <f>($O120*U$2)</f>
        <v/>
      </c>
      <c r="V120" s="23">
        <f>($O120*V$2)</f>
        <v/>
      </c>
      <c r="W120" s="23">
        <f>($O120*W$2)</f>
        <v/>
      </c>
      <c r="X120" s="23">
        <f>($O120*X$2)</f>
        <v/>
      </c>
      <c r="Y120" s="23">
        <f>($O120*Y$2)</f>
        <v/>
      </c>
      <c r="Z120" s="23">
        <f>($O120*Z$2)</f>
        <v/>
      </c>
      <c r="AA120" s="23">
        <f>($O120*AA$2)</f>
        <v/>
      </c>
      <c r="AB120" s="23">
        <f>($O120*AB$2)</f>
        <v/>
      </c>
      <c r="AC120" s="23">
        <f>($O120*AC$2)</f>
        <v/>
      </c>
      <c r="AD120" s="23">
        <f>($O120*AD$2)</f>
        <v/>
      </c>
      <c r="AE120" s="23">
        <f>($O120*AE$2)</f>
        <v/>
      </c>
      <c r="AF120" s="13">
        <f>($O120*AF$2)</f>
        <v/>
      </c>
      <c r="AG120" s="94">
        <f>(AH120/O120)</f>
        <v/>
      </c>
      <c r="AH120" s="102">
        <f>(O120*10)</f>
        <v/>
      </c>
      <c r="AI120" s="103">
        <f>(AH120*1.5)</f>
        <v/>
      </c>
      <c r="AJ120" s="104">
        <f>(AH120*2)</f>
        <v/>
      </c>
      <c r="AK120" s="119">
        <f>(AJ120+2)</f>
        <v/>
      </c>
      <c r="AL120" s="106">
        <f>(AH120*2.5)</f>
        <v/>
      </c>
      <c r="AM120" s="107">
        <f>(AH120*N120)*0.7</f>
        <v/>
      </c>
      <c r="AN120" s="55">
        <f>(1-(AO120)/(AH120*N120))</f>
        <v/>
      </c>
      <c r="AO120" s="107">
        <f>FLOOR(AM120,100)</f>
        <v/>
      </c>
      <c r="AP120" s="36" t="inlineStr">
        <is>
          <t>Rosa</t>
        </is>
      </c>
      <c r="AQ120" s="76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</row>
    <row r="121" ht="15" customFormat="1" customHeight="1" s="3" thickBot="1">
      <c r="A121" s="20">
        <f>(A120+1)</f>
        <v/>
      </c>
      <c r="B121" s="78" t="inlineStr">
        <is>
          <t xml:space="preserve">Butterfly Cannon   </t>
        </is>
      </c>
      <c r="C121" s="78" t="n">
        <v>28358009</v>
      </c>
      <c r="D121" s="125" t="n">
        <v>0</v>
      </c>
      <c r="E121" s="125" t="n">
        <v>32.71</v>
      </c>
      <c r="F121" s="78" t="n">
        <v>0</v>
      </c>
      <c r="G121" s="78" t="n">
        <v>0</v>
      </c>
      <c r="H121" s="78" t="n">
        <v>1</v>
      </c>
      <c r="I121" s="78" t="n">
        <v>1</v>
      </c>
      <c r="J121" s="125" t="n">
        <v>32.71</v>
      </c>
      <c r="K121" s="78" t="n">
        <v>29.95</v>
      </c>
      <c r="L121" s="125">
        <f>(E121+(15%*E121))</f>
        <v/>
      </c>
      <c r="M121" s="78" t="n">
        <v>750</v>
      </c>
      <c r="N121" s="126">
        <f>(M121/29.5735)</f>
        <v/>
      </c>
      <c r="O121" s="127">
        <f>(L121/N121)</f>
        <v/>
      </c>
      <c r="P121" s="81">
        <f>($O121*P$2)</f>
        <v/>
      </c>
      <c r="Q121" s="81">
        <f>($O121*Q$2)</f>
        <v/>
      </c>
      <c r="R121" s="81">
        <f>($O121*R$2)</f>
        <v/>
      </c>
      <c r="S121" s="81">
        <f>($O121*S$2)</f>
        <v/>
      </c>
      <c r="T121" s="81">
        <f>($O121*T$2)</f>
        <v/>
      </c>
      <c r="U121" s="81">
        <f>($O121*U$2)</f>
        <v/>
      </c>
      <c r="V121" s="81">
        <f>($O121*V$2)</f>
        <v/>
      </c>
      <c r="W121" s="81">
        <f>($O121*W$2)</f>
        <v/>
      </c>
      <c r="X121" s="81">
        <f>($O121*X$2)</f>
        <v/>
      </c>
      <c r="Y121" s="81">
        <f>($O121*Y$2)</f>
        <v/>
      </c>
      <c r="Z121" s="81">
        <f>($O121*Z$2)</f>
        <v/>
      </c>
      <c r="AA121" s="81">
        <f>($O121*AA$2)</f>
        <v/>
      </c>
      <c r="AB121" s="81">
        <f>($O121*AB$2)</f>
        <v/>
      </c>
      <c r="AC121" s="81">
        <f>($O121*AC$2)</f>
        <v/>
      </c>
      <c r="AD121" s="81">
        <f>($O121*AD$2)</f>
        <v/>
      </c>
      <c r="AE121" s="81">
        <f>($O121*AE$2)</f>
        <v/>
      </c>
      <c r="AF121" s="14">
        <f>($O121*AF$2)</f>
        <v/>
      </c>
      <c r="AG121" s="128">
        <f>(AH121/O121)</f>
        <v/>
      </c>
      <c r="AH121" s="129" t="n">
        <v>13</v>
      </c>
      <c r="AI121" s="130">
        <f>(AH121*1.5)</f>
        <v/>
      </c>
      <c r="AJ121" s="131">
        <f>(AH121*2)</f>
        <v/>
      </c>
      <c r="AK121" s="119">
        <f>(AJ121+2)</f>
        <v/>
      </c>
      <c r="AL121" s="132">
        <f>(AH121*2.5)</f>
        <v/>
      </c>
      <c r="AM121" s="133">
        <f>(AH121*N121)*0.7</f>
        <v/>
      </c>
      <c r="AN121" s="88">
        <f>(1-(AO121)/(AH121*N121))</f>
        <v/>
      </c>
      <c r="AO121" s="133">
        <f>FLOOR(AM121,100)</f>
        <v/>
      </c>
      <c r="AP121" s="78" t="inlineStr">
        <is>
          <t>Rosa</t>
        </is>
      </c>
      <c r="AQ121" s="89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n"/>
      <c r="CD121" s="11" t="n"/>
      <c r="CE121" s="11" t="n"/>
      <c r="CF121" s="11" t="n"/>
      <c r="CG121" s="11" t="n"/>
      <c r="CH121" s="11" t="n"/>
      <c r="CI121" s="11" t="n"/>
    </row>
    <row r="122" ht="15" customFormat="1" customHeight="1" s="3" thickBot="1">
      <c r="A122" s="18">
        <f>(A121+1)</f>
        <v/>
      </c>
      <c r="B122" s="63" t="inlineStr">
        <is>
          <t xml:space="preserve">AsomBroso El Platino   </t>
        </is>
      </c>
      <c r="C122" s="63" t="n">
        <v>30654009</v>
      </c>
      <c r="D122" s="112" t="n">
        <v>0</v>
      </c>
      <c r="E122" s="112" t="n">
        <v>42.47</v>
      </c>
      <c r="F122" s="63" t="n">
        <v>0</v>
      </c>
      <c r="G122" s="63" t="n">
        <v>0</v>
      </c>
      <c r="H122" s="63" t="n">
        <v>1</v>
      </c>
      <c r="I122" s="63" t="n">
        <v>1</v>
      </c>
      <c r="J122" s="112" t="n">
        <v>42.47</v>
      </c>
      <c r="K122" s="63" t="n">
        <v>42.47</v>
      </c>
      <c r="L122" s="112">
        <f>(E122+(15%*E122))</f>
        <v/>
      </c>
      <c r="M122" s="63" t="n">
        <v>750</v>
      </c>
      <c r="N122" s="113">
        <f>(M122/29.5735)</f>
        <v/>
      </c>
      <c r="O122" s="114">
        <f>(L122/N122)</f>
        <v/>
      </c>
      <c r="P122" s="66">
        <f>($O122*P$2)</f>
        <v/>
      </c>
      <c r="Q122" s="66">
        <f>($O122*Q$2)</f>
        <v/>
      </c>
      <c r="R122" s="66">
        <f>($O122*R$2)</f>
        <v/>
      </c>
      <c r="S122" s="66">
        <f>($O122*S$2)</f>
        <v/>
      </c>
      <c r="T122" s="66">
        <f>($O122*T$2)</f>
        <v/>
      </c>
      <c r="U122" s="66">
        <f>($O122*U$2)</f>
        <v/>
      </c>
      <c r="V122" s="66">
        <f>($O122*V$2)</f>
        <v/>
      </c>
      <c r="W122" s="66">
        <f>($O122*W$2)</f>
        <v/>
      </c>
      <c r="X122" s="66">
        <f>($O122*X$2)</f>
        <v/>
      </c>
      <c r="Y122" s="66">
        <f>($O122*Y$2)</f>
        <v/>
      </c>
      <c r="Z122" s="66">
        <f>($O122*Z$2)</f>
        <v/>
      </c>
      <c r="AA122" s="66">
        <f>($O122*AA$2)</f>
        <v/>
      </c>
      <c r="AB122" s="66">
        <f>($O122*AB$2)</f>
        <v/>
      </c>
      <c r="AC122" s="66">
        <f>($O122*AC$2)</f>
        <v/>
      </c>
      <c r="AD122" s="66">
        <f>($O122*AD$2)</f>
        <v/>
      </c>
      <c r="AE122" s="66">
        <f>($O122*AE$2)</f>
        <v/>
      </c>
      <c r="AF122" s="67">
        <f>($O122*AF$2)</f>
        <v/>
      </c>
      <c r="AG122" s="115">
        <f>(AH122/O122)</f>
        <v/>
      </c>
      <c r="AH122" s="116" t="n">
        <v>19</v>
      </c>
      <c r="AI122" s="117">
        <f>(AH122*1.5)</f>
        <v/>
      </c>
      <c r="AJ122" s="118">
        <f>(AH122*2)</f>
        <v/>
      </c>
      <c r="AK122" s="119">
        <f>(AJ122+2)</f>
        <v/>
      </c>
      <c r="AL122" s="120">
        <f>(AH122*2.5)</f>
        <v/>
      </c>
      <c r="AM122" s="121">
        <f>(AH122*N122)*0.7</f>
        <v/>
      </c>
      <c r="AN122" s="73">
        <f>(1-(AO122)/(AH122*N122))</f>
        <v/>
      </c>
      <c r="AO122" s="121">
        <f>FLOOR(AM122,100)</f>
        <v/>
      </c>
      <c r="AP122" s="63" t="inlineStr">
        <is>
          <t>Silver</t>
        </is>
      </c>
      <c r="AQ122" s="74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</row>
    <row r="123" ht="15" customHeight="1" thickBot="1">
      <c r="A123" s="75">
        <f>(A122+1)</f>
        <v/>
      </c>
      <c r="B123" s="36" t="inlineStr">
        <is>
          <t xml:space="preserve">Patron </t>
        </is>
      </c>
      <c r="C123" s="36" t="n">
        <v>328</v>
      </c>
      <c r="D123" s="122" t="n">
        <v>0</v>
      </c>
      <c r="E123" s="122" t="n">
        <v>38.4</v>
      </c>
      <c r="F123" s="36" t="n">
        <v>0</v>
      </c>
      <c r="G123" s="36" t="n">
        <v>0</v>
      </c>
      <c r="H123" s="36" t="n">
        <v>6</v>
      </c>
      <c r="I123" s="36" t="n">
        <v>6</v>
      </c>
      <c r="J123" s="122" t="n">
        <v>246.12</v>
      </c>
      <c r="K123" s="36" t="n">
        <v>230.4</v>
      </c>
      <c r="L123" s="122">
        <f>(E123+(15%*E123))</f>
        <v/>
      </c>
      <c r="M123" s="36" t="n">
        <v>750</v>
      </c>
      <c r="N123" s="123">
        <f>(M123/29.5735)</f>
        <v/>
      </c>
      <c r="O123" s="124">
        <f>(L123/N123)</f>
        <v/>
      </c>
      <c r="P123" s="23">
        <f>($O123*P$2)</f>
        <v/>
      </c>
      <c r="Q123" s="23">
        <f>($O123*Q$2)</f>
        <v/>
      </c>
      <c r="R123" s="23">
        <f>($O123*R$2)</f>
        <v/>
      </c>
      <c r="S123" s="23">
        <f>($O123*S$2)</f>
        <v/>
      </c>
      <c r="T123" s="23">
        <f>($O123*T$2)</f>
        <v/>
      </c>
      <c r="U123" s="23">
        <f>($O123*U$2)</f>
        <v/>
      </c>
      <c r="V123" s="23">
        <f>($O123*V$2)</f>
        <v/>
      </c>
      <c r="W123" s="23">
        <f>($O123*W$2)</f>
        <v/>
      </c>
      <c r="X123" s="23">
        <f>($O123*X$2)</f>
        <v/>
      </c>
      <c r="Y123" s="23">
        <f>($O123*Y$2)</f>
        <v/>
      </c>
      <c r="Z123" s="23">
        <f>($O123*Z$2)</f>
        <v/>
      </c>
      <c r="AA123" s="23">
        <f>($O123*AA$2)</f>
        <v/>
      </c>
      <c r="AB123" s="23">
        <f>($O123*AB$2)</f>
        <v/>
      </c>
      <c r="AC123" s="23">
        <f>($O123*AC$2)</f>
        <v/>
      </c>
      <c r="AD123" s="23">
        <f>($O123*AD$2)</f>
        <v/>
      </c>
      <c r="AE123" s="23">
        <f>($O123*AE$2)</f>
        <v/>
      </c>
      <c r="AF123" s="13">
        <f>($O123*AF$2)</f>
        <v/>
      </c>
      <c r="AG123" s="94">
        <f>(AH123/O123)</f>
        <v/>
      </c>
      <c r="AH123" s="102">
        <f>(O123*10)</f>
        <v/>
      </c>
      <c r="AI123" s="103">
        <f>(AH123*1.5)</f>
        <v/>
      </c>
      <c r="AJ123" s="104">
        <f>(AH123*2)</f>
        <v/>
      </c>
      <c r="AK123" s="119">
        <f>(AJ123+2)</f>
        <v/>
      </c>
      <c r="AL123" s="106">
        <f>(AH123*2.5)</f>
        <v/>
      </c>
      <c r="AM123" s="107">
        <f>(AH123*N123)*0.7</f>
        <v/>
      </c>
      <c r="AN123" s="55">
        <f>(1-(AO123)/(AH123*N123))</f>
        <v/>
      </c>
      <c r="AO123" s="107">
        <f>FLOOR(AM123,100)</f>
        <v/>
      </c>
      <c r="AP123" s="36" t="inlineStr">
        <is>
          <t>Silver</t>
        </is>
      </c>
      <c r="AQ123" s="76" t="n"/>
    </row>
    <row r="124" ht="15" customHeight="1" thickBot="1">
      <c r="A124" s="75">
        <f>(A123+1)</f>
        <v/>
      </c>
      <c r="B124" s="36" t="inlineStr">
        <is>
          <t xml:space="preserve">Hussongs   </t>
        </is>
      </c>
      <c r="C124" s="36" t="n">
        <v>962210</v>
      </c>
      <c r="D124" s="122" t="n">
        <v>0</v>
      </c>
      <c r="E124" s="122" t="n">
        <v>30.23</v>
      </c>
      <c r="F124" s="36" t="n">
        <v>0</v>
      </c>
      <c r="G124" s="36" t="n">
        <v>0</v>
      </c>
      <c r="H124" s="36" t="n">
        <v>1</v>
      </c>
      <c r="I124" s="36" t="n">
        <v>1</v>
      </c>
      <c r="J124" s="122" t="n">
        <v>32.85</v>
      </c>
      <c r="K124" s="36" t="n">
        <v>30.23</v>
      </c>
      <c r="L124" s="122">
        <f>(E124+(15%*E124))</f>
        <v/>
      </c>
      <c r="M124" s="36" t="n">
        <v>750</v>
      </c>
      <c r="N124" s="123">
        <f>(M124/29.5735)</f>
        <v/>
      </c>
      <c r="O124" s="124">
        <f>(L124/N124)</f>
        <v/>
      </c>
      <c r="P124" s="23">
        <f>($O124*P$2)</f>
        <v/>
      </c>
      <c r="Q124" s="23">
        <f>($O124*Q$2)</f>
        <v/>
      </c>
      <c r="R124" s="23">
        <f>($O124*R$2)</f>
        <v/>
      </c>
      <c r="S124" s="23">
        <f>($O124*S$2)</f>
        <v/>
      </c>
      <c r="T124" s="23">
        <f>($O124*T$2)</f>
        <v/>
      </c>
      <c r="U124" s="23">
        <f>($O124*U$2)</f>
        <v/>
      </c>
      <c r="V124" s="23">
        <f>($O124*V$2)</f>
        <v/>
      </c>
      <c r="W124" s="23">
        <f>($O124*W$2)</f>
        <v/>
      </c>
      <c r="X124" s="23">
        <f>($O124*X$2)</f>
        <v/>
      </c>
      <c r="Y124" s="23">
        <f>($O124*Y$2)</f>
        <v/>
      </c>
      <c r="Z124" s="23">
        <f>($O124*Z$2)</f>
        <v/>
      </c>
      <c r="AA124" s="23">
        <f>($O124*AA$2)</f>
        <v/>
      </c>
      <c r="AB124" s="23">
        <f>($O124*AB$2)</f>
        <v/>
      </c>
      <c r="AC124" s="23">
        <f>($O124*AC$2)</f>
        <v/>
      </c>
      <c r="AD124" s="23">
        <f>($O124*AD$2)</f>
        <v/>
      </c>
      <c r="AE124" s="23">
        <f>($O124*AE$2)</f>
        <v/>
      </c>
      <c r="AF124" s="13">
        <f>($O124*AF$2)</f>
        <v/>
      </c>
      <c r="AG124" s="94">
        <f>(AH124/O124)</f>
        <v/>
      </c>
      <c r="AH124" s="102">
        <f>(O124*10)</f>
        <v/>
      </c>
      <c r="AI124" s="103">
        <f>(AH124*1.5)</f>
        <v/>
      </c>
      <c r="AJ124" s="104">
        <f>(AH124*2)</f>
        <v/>
      </c>
      <c r="AK124" s="119">
        <f>(AJ124+2)</f>
        <v/>
      </c>
      <c r="AL124" s="106">
        <f>(AH124*2.5)</f>
        <v/>
      </c>
      <c r="AM124" s="107">
        <f>(AH124*N124)*0.7</f>
        <v/>
      </c>
      <c r="AN124" s="55">
        <f>(1-(AO124)/(AH124*N124))</f>
        <v/>
      </c>
      <c r="AO124" s="107">
        <f>FLOOR(AM124,100)</f>
        <v/>
      </c>
      <c r="AP124" s="36" t="inlineStr">
        <is>
          <t>Silver</t>
        </is>
      </c>
      <c r="AQ124" s="76" t="n"/>
    </row>
    <row r="125" ht="15" customFormat="1" customHeight="1" s="3" thickBot="1">
      <c r="A125" s="75">
        <f>(A124+1)</f>
        <v/>
      </c>
      <c r="B125" s="36" t="n">
        <v>1800</v>
      </c>
      <c r="C125" s="36" t="n">
        <v>11318009</v>
      </c>
      <c r="D125" s="122" t="n">
        <v>0</v>
      </c>
      <c r="E125" s="122" t="n">
        <v>22.43</v>
      </c>
      <c r="F125" s="36" t="n">
        <v>0</v>
      </c>
      <c r="G125" s="36" t="n">
        <v>0</v>
      </c>
      <c r="H125" s="36" t="n">
        <v>2</v>
      </c>
      <c r="I125" s="36" t="n">
        <v>2</v>
      </c>
      <c r="J125" s="122" t="n">
        <v>50.04</v>
      </c>
      <c r="K125" s="36" t="n">
        <v>44.86</v>
      </c>
      <c r="L125" s="122">
        <f>(E125+(15%*E125))</f>
        <v/>
      </c>
      <c r="M125" s="36" t="n">
        <v>750</v>
      </c>
      <c r="N125" s="123">
        <f>(M125/29.5735)</f>
        <v/>
      </c>
      <c r="O125" s="124">
        <f>(L125/N125)</f>
        <v/>
      </c>
      <c r="P125" s="23">
        <f>($O125*P$2)</f>
        <v/>
      </c>
      <c r="Q125" s="23">
        <f>($O125*Q$2)</f>
        <v/>
      </c>
      <c r="R125" s="23">
        <f>($O125*R$2)</f>
        <v/>
      </c>
      <c r="S125" s="23">
        <f>($O125*S$2)</f>
        <v/>
      </c>
      <c r="T125" s="23">
        <f>($O125*T$2)</f>
        <v/>
      </c>
      <c r="U125" s="23">
        <f>($O125*U$2)</f>
        <v/>
      </c>
      <c r="V125" s="23">
        <f>($O125*V$2)</f>
        <v/>
      </c>
      <c r="W125" s="23">
        <f>($O125*W$2)</f>
        <v/>
      </c>
      <c r="X125" s="23">
        <f>($O125*X$2)</f>
        <v/>
      </c>
      <c r="Y125" s="23">
        <f>($O125*Y$2)</f>
        <v/>
      </c>
      <c r="Z125" s="23">
        <f>($O125*Z$2)</f>
        <v/>
      </c>
      <c r="AA125" s="23">
        <f>($O125*AA$2)</f>
        <v/>
      </c>
      <c r="AB125" s="23">
        <f>($O125*AB$2)</f>
        <v/>
      </c>
      <c r="AC125" s="23">
        <f>($O125*AC$2)</f>
        <v/>
      </c>
      <c r="AD125" s="23">
        <f>($O125*AD$2)</f>
        <v/>
      </c>
      <c r="AE125" s="23">
        <f>($O125*AE$2)</f>
        <v/>
      </c>
      <c r="AF125" s="13">
        <f>($O125*AF$2)</f>
        <v/>
      </c>
      <c r="AG125" s="94">
        <f>(AH125/O125)</f>
        <v/>
      </c>
      <c r="AH125" s="102">
        <f>(O125*10)</f>
        <v/>
      </c>
      <c r="AI125" s="103">
        <f>(AH125*1.5)</f>
        <v/>
      </c>
      <c r="AJ125" s="104">
        <f>(AH125*2)</f>
        <v/>
      </c>
      <c r="AK125" s="119">
        <f>(AJ125+2)</f>
        <v/>
      </c>
      <c r="AL125" s="106">
        <f>(AH125*2.5)</f>
        <v/>
      </c>
      <c r="AM125" s="107">
        <f>(AH125*N125)*0.7</f>
        <v/>
      </c>
      <c r="AN125" s="55">
        <f>(1-(AO125)/(AH125*N125))</f>
        <v/>
      </c>
      <c r="AO125" s="107">
        <f>FLOOR(AM125,100)</f>
        <v/>
      </c>
      <c r="AP125" s="36" t="inlineStr">
        <is>
          <t>Silver</t>
        </is>
      </c>
      <c r="AQ125" s="76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n"/>
      <c r="CD125" s="11" t="n"/>
      <c r="CE125" s="11" t="n"/>
      <c r="CF125" s="11" t="n"/>
      <c r="CG125" s="11" t="n"/>
      <c r="CH125" s="11" t="n"/>
      <c r="CI125" s="11" t="n"/>
    </row>
    <row r="126" ht="15" customFormat="1" customHeight="1" s="3" thickBot="1">
      <c r="A126" s="20">
        <f>(A125+1)</f>
        <v/>
      </c>
      <c r="B126" s="78" t="inlineStr">
        <is>
          <t xml:space="preserve">Camarena   </t>
        </is>
      </c>
      <c r="C126" s="78" t="n">
        <v>168051</v>
      </c>
      <c r="D126" s="125" t="n">
        <v>0</v>
      </c>
      <c r="E126" s="125" t="n">
        <v>20.43</v>
      </c>
      <c r="F126" s="78" t="n">
        <v>0</v>
      </c>
      <c r="G126" s="78" t="n">
        <v>0</v>
      </c>
      <c r="H126" s="78" t="n">
        <v>1</v>
      </c>
      <c r="I126" s="78" t="n">
        <v>1</v>
      </c>
      <c r="J126" s="125" t="n">
        <v>23.06</v>
      </c>
      <c r="K126" s="78" t="n">
        <v>20.43</v>
      </c>
      <c r="L126" s="125">
        <f>(E126+(15%*E126))</f>
        <v/>
      </c>
      <c r="M126" s="78" t="n">
        <v>750</v>
      </c>
      <c r="N126" s="126">
        <f>(M126/29.5735)</f>
        <v/>
      </c>
      <c r="O126" s="127">
        <f>(L126/N126)</f>
        <v/>
      </c>
      <c r="P126" s="81">
        <f>($O126*P$2)</f>
        <v/>
      </c>
      <c r="Q126" s="81">
        <f>($O126*Q$2)</f>
        <v/>
      </c>
      <c r="R126" s="81">
        <f>($O126*R$2)</f>
        <v/>
      </c>
      <c r="S126" s="81">
        <f>($O126*S$2)</f>
        <v/>
      </c>
      <c r="T126" s="81">
        <f>($O126*T$2)</f>
        <v/>
      </c>
      <c r="U126" s="81">
        <f>($O126*U$2)</f>
        <v/>
      </c>
      <c r="V126" s="81">
        <f>($O126*V$2)</f>
        <v/>
      </c>
      <c r="W126" s="81">
        <f>($O126*W$2)</f>
        <v/>
      </c>
      <c r="X126" s="81">
        <f>($O126*X$2)</f>
        <v/>
      </c>
      <c r="Y126" s="81">
        <f>($O126*Y$2)</f>
        <v/>
      </c>
      <c r="Z126" s="81">
        <f>($O126*Z$2)</f>
        <v/>
      </c>
      <c r="AA126" s="81">
        <f>($O126*AA$2)</f>
        <v/>
      </c>
      <c r="AB126" s="81">
        <f>($O126*AB$2)</f>
        <v/>
      </c>
      <c r="AC126" s="81">
        <f>($O126*AC$2)</f>
        <v/>
      </c>
      <c r="AD126" s="81">
        <f>($O126*AD$2)</f>
        <v/>
      </c>
      <c r="AE126" s="81">
        <f>($O126*AE$2)</f>
        <v/>
      </c>
      <c r="AF126" s="14">
        <f>($O126*AF$2)</f>
        <v/>
      </c>
      <c r="AG126" s="128">
        <f>(AH126/O126)</f>
        <v/>
      </c>
      <c r="AH126" s="129">
        <f>(O126*10)</f>
        <v/>
      </c>
      <c r="AI126" s="130">
        <f>(AH126*1.5)</f>
        <v/>
      </c>
      <c r="AJ126" s="131">
        <f>(AH126*2)</f>
        <v/>
      </c>
      <c r="AK126" s="119">
        <f>(AJ126+2)</f>
        <v/>
      </c>
      <c r="AL126" s="132">
        <f>(AH126*2.5)</f>
        <v/>
      </c>
      <c r="AM126" s="133">
        <f>(AH126*N126)*0.7</f>
        <v/>
      </c>
      <c r="AN126" s="88">
        <f>(1-(AO126)/(AH126*N126))</f>
        <v/>
      </c>
      <c r="AO126" s="133">
        <f>FLOOR(AM126,100)</f>
        <v/>
      </c>
      <c r="AP126" s="78" t="inlineStr">
        <is>
          <t>Silver</t>
        </is>
      </c>
      <c r="AQ126" s="89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</row>
    <row r="127" customFormat="1" s="3"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134" t="n"/>
      <c r="AH127" s="95" t="n"/>
      <c r="AI127" s="95" t="n"/>
      <c r="AJ127" s="96" t="n"/>
      <c r="AK127" s="97" t="n"/>
      <c r="AL127" s="95" t="n"/>
      <c r="AM127" s="98" t="n"/>
      <c r="AN127" s="53" t="n"/>
      <c r="AO127" s="98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n"/>
      <c r="CD127" s="11" t="n"/>
      <c r="CE127" s="11" t="n"/>
      <c r="CF127" s="11" t="n"/>
      <c r="CG127" s="11" t="n"/>
      <c r="CH127" s="11" t="n"/>
      <c r="CI127" s="11" t="n"/>
    </row>
    <row r="128"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M128" s="6" t="n"/>
      <c r="N128" s="11" t="n"/>
      <c r="O128" s="11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</row>
    <row r="129"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M129" s="6" t="n"/>
      <c r="N129" s="11" t="n"/>
      <c r="O129" s="11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</row>
    <row r="130"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M130" s="6" t="n"/>
      <c r="N130" s="11" t="n"/>
      <c r="O130" s="11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</row>
    <row r="131" customFormat="1" s="3"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6" t="n"/>
      <c r="N131" s="11" t="n"/>
      <c r="O131" s="11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  <c r="AC131" s="24" t="n"/>
      <c r="AD131" s="24" t="n"/>
      <c r="AE131" s="24" t="n"/>
      <c r="AF131" s="24" t="n"/>
      <c r="AG131" s="94" t="n"/>
      <c r="AH131" s="95" t="n"/>
      <c r="AI131" s="95" t="n"/>
      <c r="AJ131" s="96" t="n"/>
      <c r="AK131" s="97" t="n"/>
      <c r="AL131" s="95" t="n"/>
      <c r="AM131" s="98" t="n"/>
      <c r="AN131" s="53" t="n"/>
      <c r="AO131" s="98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n"/>
      <c r="CD131" s="11" t="n"/>
      <c r="CE131" s="11" t="n"/>
      <c r="CF131" s="11" t="n"/>
      <c r="CG131" s="11" t="n"/>
      <c r="CH131" s="11" t="n"/>
      <c r="CI131" s="11" t="n"/>
    </row>
    <row r="132" customFormat="1" s="3"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6" t="n"/>
      <c r="N132" s="11" t="n"/>
      <c r="O132" s="11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94" t="n"/>
      <c r="AH132" s="95" t="n"/>
      <c r="AI132" s="95" t="n"/>
      <c r="AJ132" s="96" t="n"/>
      <c r="AK132" s="97" t="n"/>
      <c r="AL132" s="95" t="n"/>
      <c r="AM132" s="98" t="n"/>
      <c r="AN132" s="53" t="n"/>
      <c r="AO132" s="98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</row>
    <row r="133" customFormat="1" s="3"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6" t="n"/>
      <c r="N133" s="11" t="n"/>
      <c r="O133" s="11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94" t="n"/>
      <c r="AH133" s="95" t="n"/>
      <c r="AI133" s="95" t="n"/>
      <c r="AJ133" s="96" t="n"/>
      <c r="AK133" s="97" t="n"/>
      <c r="AL133" s="95" t="n"/>
      <c r="AM133" s="98" t="n"/>
      <c r="AN133" s="53" t="n"/>
      <c r="AO133" s="98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n"/>
      <c r="CD133" s="11" t="n"/>
      <c r="CE133" s="11" t="n"/>
      <c r="CF133" s="11" t="n"/>
      <c r="CG133" s="11" t="n"/>
      <c r="CH133" s="11" t="n"/>
      <c r="CI133" s="11" t="n"/>
    </row>
    <row r="134" customFormat="1" s="3"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6" t="n"/>
      <c r="N134" s="11" t="n"/>
      <c r="O134" s="11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94" t="n"/>
      <c r="AH134" s="95" t="n"/>
      <c r="AI134" s="95" t="n"/>
      <c r="AJ134" s="96" t="n"/>
      <c r="AK134" s="97" t="n"/>
      <c r="AL134" s="95" t="n"/>
      <c r="AM134" s="98" t="n"/>
      <c r="AN134" s="53" t="n"/>
      <c r="AO134" s="98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</row>
    <row r="135" customFormat="1" s="3"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6" t="n"/>
      <c r="N135" s="11" t="n"/>
      <c r="O135" s="11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94" t="n"/>
      <c r="AH135" s="95" t="n"/>
      <c r="AI135" s="95" t="n"/>
      <c r="AJ135" s="96" t="n"/>
      <c r="AK135" s="97" t="n"/>
      <c r="AL135" s="95" t="n"/>
      <c r="AM135" s="98" t="n"/>
      <c r="AN135" s="53" t="n"/>
      <c r="AO135" s="98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n"/>
      <c r="CD135" s="11" t="n"/>
      <c r="CE135" s="11" t="n"/>
      <c r="CF135" s="11" t="n"/>
      <c r="CG135" s="11" t="n"/>
      <c r="CH135" s="11" t="n"/>
      <c r="CI135" s="11" t="n"/>
    </row>
    <row r="136"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M136" s="6" t="n"/>
      <c r="N136" s="11" t="n"/>
      <c r="O136" s="11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</row>
    <row r="137"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M137" s="6" t="n"/>
      <c r="N137" s="11" t="n"/>
      <c r="O137" s="11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</row>
    <row r="138"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M138" s="6" t="n"/>
      <c r="N138" s="11" t="n"/>
      <c r="O138" s="11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</row>
    <row r="139"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M139" s="6" t="n"/>
      <c r="N139" s="11" t="n"/>
      <c r="O139" s="11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</row>
    <row r="140"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M140" s="6" t="n"/>
      <c r="N140" s="11" t="n"/>
      <c r="O140" s="11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</row>
    <row r="141"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M141" s="6" t="n"/>
      <c r="N141" s="11" t="n"/>
      <c r="O141" s="11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</row>
    <row r="142"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M142" s="6" t="n"/>
      <c r="N142" s="11" t="n"/>
      <c r="O142" s="11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</row>
    <row r="143"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M143" s="6" t="n"/>
      <c r="N143" s="11" t="n"/>
      <c r="O143" s="11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</row>
    <row r="144" customFormat="1" s="3"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6" t="n"/>
      <c r="N144" s="11" t="n"/>
      <c r="O144" s="11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94" t="n"/>
      <c r="AH144" s="95" t="n"/>
      <c r="AI144" s="95" t="n"/>
      <c r="AJ144" s="96" t="n"/>
      <c r="AK144" s="97" t="n"/>
      <c r="AL144" s="95" t="n"/>
      <c r="AM144" s="98" t="n"/>
      <c r="AN144" s="53" t="n"/>
      <c r="AO144" s="98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</row>
    <row r="145" customFormat="1" s="3"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6" t="n"/>
      <c r="N145" s="11" t="n"/>
      <c r="O145" s="11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94" t="n"/>
      <c r="AH145" s="95" t="n"/>
      <c r="AI145" s="95" t="n"/>
      <c r="AJ145" s="96" t="n"/>
      <c r="AK145" s="97" t="n"/>
      <c r="AL145" s="95" t="n"/>
      <c r="AM145" s="98" t="n"/>
      <c r="AN145" s="53" t="n"/>
      <c r="AO145" s="98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n"/>
      <c r="CD145" s="11" t="n"/>
      <c r="CE145" s="11" t="n"/>
      <c r="CF145" s="11" t="n"/>
      <c r="CG145" s="11" t="n"/>
      <c r="CH145" s="11" t="n"/>
      <c r="CI145" s="11" t="n"/>
    </row>
    <row r="146" customFormat="1" s="3"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6" t="n"/>
      <c r="N146" s="11" t="n"/>
      <c r="O146" s="11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94" t="n"/>
      <c r="AH146" s="95" t="n"/>
      <c r="AI146" s="95" t="n"/>
      <c r="AJ146" s="96" t="n"/>
      <c r="AK146" s="97" t="n"/>
      <c r="AL146" s="95" t="n"/>
      <c r="AM146" s="98" t="n"/>
      <c r="AN146" s="53" t="n"/>
      <c r="AO146" s="98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</row>
    <row r="147"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M147" s="6" t="n"/>
      <c r="N147" s="11" t="n"/>
      <c r="O147" s="11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</row>
    <row r="148">
      <c r="B148" s="11" t="n"/>
      <c r="C148" s="11" t="n"/>
      <c r="D148" s="11" t="n"/>
      <c r="E148" s="11" t="n"/>
      <c r="F148" s="11" t="n"/>
      <c r="G148" s="11" t="n"/>
      <c r="M148" s="11" t="n"/>
      <c r="V148" s="24" t="n"/>
      <c r="W148" s="24" t="n"/>
      <c r="X148" s="24" t="n"/>
    </row>
    <row r="149">
      <c r="B149" s="11" t="n"/>
      <c r="C149" s="11" t="n"/>
      <c r="D149" s="11" t="n"/>
      <c r="E149" s="11" t="n"/>
      <c r="F149" s="11" t="n"/>
      <c r="G149" s="11" t="n"/>
      <c r="M149" s="11" t="n"/>
      <c r="V149" s="24" t="n"/>
      <c r="W149" s="24" t="n"/>
      <c r="X149" s="24" t="n"/>
    </row>
    <row r="150">
      <c r="B150" s="11" t="n"/>
      <c r="C150" s="11" t="n"/>
      <c r="D150" s="11" t="n"/>
      <c r="E150" s="11" t="n"/>
      <c r="F150" s="11" t="n"/>
      <c r="G150" s="11" t="n"/>
      <c r="M150" s="11" t="n"/>
      <c r="V150" s="24" t="n"/>
      <c r="W150" s="24" t="n"/>
      <c r="X150" s="24" t="n"/>
    </row>
    <row r="151">
      <c r="B151" s="11" t="n"/>
      <c r="C151" s="11" t="n"/>
      <c r="D151" s="11" t="n"/>
      <c r="E151" s="11" t="n"/>
      <c r="F151" s="11" t="n"/>
      <c r="G151" s="11" t="n"/>
      <c r="M151" s="11" t="n"/>
      <c r="V151" s="24" t="n"/>
      <c r="W151" s="24" t="n"/>
      <c r="X151" s="24" t="n"/>
    </row>
    <row r="152">
      <c r="B152" s="11" t="n"/>
      <c r="C152" s="11" t="n"/>
      <c r="D152" s="11" t="n"/>
      <c r="E152" s="11" t="n"/>
      <c r="F152" s="11" t="n"/>
      <c r="G152" s="11" t="n"/>
      <c r="M152" s="11" t="n"/>
      <c r="V152" s="24" t="n"/>
      <c r="W152" s="24" t="n"/>
      <c r="X152" s="24" t="n"/>
    </row>
    <row r="153">
      <c r="B153" s="11" t="n"/>
      <c r="C153" s="11" t="n"/>
      <c r="D153" s="11" t="n"/>
      <c r="E153" s="11" t="n"/>
      <c r="F153" s="11" t="n"/>
      <c r="G153" s="11" t="n"/>
      <c r="M153" s="11" t="n"/>
      <c r="V153" s="24" t="n"/>
      <c r="W153" s="24" t="n"/>
      <c r="X153" s="24" t="n"/>
    </row>
    <row r="154">
      <c r="B154" s="11" t="n"/>
      <c r="C154" s="11" t="n"/>
      <c r="D154" s="11" t="n"/>
      <c r="E154" s="11" t="n"/>
      <c r="F154" s="11" t="n"/>
      <c r="G154" s="11" t="n"/>
      <c r="M154" s="11" t="n"/>
      <c r="V154" s="24" t="n"/>
      <c r="W154" s="24" t="n"/>
      <c r="X154" s="24" t="n"/>
    </row>
    <row r="155">
      <c r="B155" s="11" t="n"/>
      <c r="C155" s="11" t="n"/>
      <c r="D155" s="11" t="n"/>
      <c r="E155" s="11" t="n"/>
      <c r="F155" s="11" t="n"/>
      <c r="G155" s="11" t="n"/>
      <c r="M155" s="11" t="n"/>
      <c r="V155" s="24" t="n"/>
      <c r="W155" s="24" t="n"/>
      <c r="X155" s="24" t="n"/>
    </row>
    <row r="156">
      <c r="B156" s="11" t="n"/>
      <c r="C156" s="11" t="n"/>
      <c r="D156" s="11" t="n"/>
      <c r="E156" s="11" t="n"/>
      <c r="F156" s="11" t="n"/>
      <c r="G156" s="11" t="n"/>
      <c r="M156" s="11" t="n"/>
      <c r="V156" s="24" t="n"/>
      <c r="W156" s="24" t="n"/>
      <c r="X156" s="24" t="n"/>
    </row>
    <row r="157">
      <c r="B157" s="11" t="n"/>
      <c r="C157" s="11" t="n"/>
      <c r="D157" s="11" t="n"/>
      <c r="E157" s="11" t="n"/>
      <c r="F157" s="11" t="n"/>
      <c r="G157" s="11" t="n"/>
      <c r="M157" s="11" t="n"/>
      <c r="V157" s="24" t="n"/>
      <c r="W157" s="24" t="n"/>
      <c r="X157" s="24" t="n"/>
    </row>
    <row r="158">
      <c r="B158" s="11" t="n"/>
      <c r="C158" s="11" t="n"/>
      <c r="D158" s="11" t="n"/>
      <c r="E158" s="11" t="n"/>
      <c r="F158" s="11" t="n"/>
      <c r="G158" s="11" t="n"/>
      <c r="M158" s="11" t="n"/>
      <c r="V158" s="24" t="n"/>
      <c r="W158" s="24" t="n"/>
      <c r="X158" s="24" t="n"/>
    </row>
    <row r="159" customFormat="1" s="3">
      <c r="B159" s="11" t="n"/>
      <c r="C159" s="11" t="n"/>
      <c r="D159" s="11" t="n"/>
      <c r="E159" s="11" t="n"/>
      <c r="F159" s="11" t="n"/>
      <c r="G159" s="11" t="n"/>
      <c r="P159" s="25" t="n"/>
      <c r="Q159" s="25" t="n"/>
      <c r="R159" s="25" t="n"/>
      <c r="S159" s="25" t="n"/>
      <c r="T159" s="25" t="n"/>
      <c r="U159" s="25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94" t="n"/>
      <c r="AH159" s="95" t="n"/>
      <c r="AI159" s="95" t="n"/>
      <c r="AJ159" s="96" t="n"/>
      <c r="AK159" s="97" t="n"/>
      <c r="AL159" s="95" t="n"/>
      <c r="AM159" s="98" t="n"/>
      <c r="AN159" s="53" t="n"/>
      <c r="AO159" s="98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n"/>
      <c r="CD159" s="11" t="n"/>
      <c r="CE159" s="11" t="n"/>
      <c r="CF159" s="11" t="n"/>
      <c r="CG159" s="11" t="n"/>
      <c r="CH159" s="11" t="n"/>
      <c r="CI159" s="11" t="n"/>
    </row>
    <row r="160" customFormat="1" s="3">
      <c r="B160" s="11" t="n"/>
      <c r="C160" s="11" t="n"/>
      <c r="D160" s="11" t="n"/>
      <c r="E160" s="11" t="n"/>
      <c r="F160" s="11" t="n"/>
      <c r="G160" s="11" t="n"/>
      <c r="P160" s="25" t="n"/>
      <c r="Q160" s="25" t="n"/>
      <c r="R160" s="25" t="n"/>
      <c r="S160" s="25" t="n"/>
      <c r="T160" s="25" t="n"/>
      <c r="U160" s="25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94" t="n"/>
      <c r="AH160" s="95" t="n"/>
      <c r="AI160" s="95" t="n"/>
      <c r="AJ160" s="96" t="n"/>
      <c r="AK160" s="97" t="n"/>
      <c r="AL160" s="95" t="n"/>
      <c r="AM160" s="98" t="n"/>
      <c r="AN160" s="53" t="n"/>
      <c r="AO160" s="98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</row>
    <row r="161" customFormat="1" s="3">
      <c r="B161" s="11" t="n"/>
      <c r="C161" s="11" t="n"/>
      <c r="D161" s="11" t="n"/>
      <c r="E161" s="11" t="n"/>
      <c r="F161" s="11" t="n"/>
      <c r="G161" s="11" t="n"/>
      <c r="P161" s="25" t="n"/>
      <c r="Q161" s="25" t="n"/>
      <c r="R161" s="25" t="n"/>
      <c r="S161" s="25" t="n"/>
      <c r="T161" s="25" t="n"/>
      <c r="U161" s="25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94" t="n"/>
      <c r="AH161" s="95" t="n"/>
      <c r="AI161" s="95" t="n"/>
      <c r="AJ161" s="96" t="n"/>
      <c r="AK161" s="97" t="n"/>
      <c r="AL161" s="95" t="n"/>
      <c r="AM161" s="98" t="n"/>
      <c r="AN161" s="53" t="n"/>
      <c r="AO161" s="98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n"/>
      <c r="CD161" s="11" t="n"/>
      <c r="CE161" s="11" t="n"/>
      <c r="CF161" s="11" t="n"/>
      <c r="CG161" s="11" t="n"/>
      <c r="CH161" s="11" t="n"/>
      <c r="CI161" s="11" t="n"/>
    </row>
    <row r="162" customFormat="1" s="3">
      <c r="B162" s="11" t="n"/>
      <c r="C162" s="11" t="n"/>
      <c r="D162" s="11" t="n"/>
      <c r="E162" s="11" t="n"/>
      <c r="F162" s="11" t="n"/>
      <c r="G162" s="11" t="n"/>
      <c r="P162" s="25" t="n"/>
      <c r="Q162" s="25" t="n"/>
      <c r="R162" s="25" t="n"/>
      <c r="S162" s="25" t="n"/>
      <c r="T162" s="25" t="n"/>
      <c r="U162" s="25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94" t="n"/>
      <c r="AH162" s="95" t="n"/>
      <c r="AI162" s="95" t="n"/>
      <c r="AJ162" s="96" t="n"/>
      <c r="AK162" s="97" t="n"/>
      <c r="AL162" s="95" t="n"/>
      <c r="AM162" s="98" t="n"/>
      <c r="AN162" s="53" t="n"/>
      <c r="AO162" s="98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</row>
    <row r="163" customFormat="1" s="3">
      <c r="B163" s="11" t="n"/>
      <c r="C163" s="11" t="n"/>
      <c r="D163" s="11" t="n"/>
      <c r="E163" s="11" t="n"/>
      <c r="F163" s="11" t="n"/>
      <c r="G163" s="11" t="n"/>
      <c r="P163" s="25" t="n"/>
      <c r="Q163" s="25" t="n"/>
      <c r="R163" s="25" t="n"/>
      <c r="S163" s="25" t="n"/>
      <c r="T163" s="25" t="n"/>
      <c r="U163" s="25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94" t="n"/>
      <c r="AH163" s="95" t="n"/>
      <c r="AI163" s="95" t="n"/>
      <c r="AJ163" s="96" t="n"/>
      <c r="AK163" s="97" t="n"/>
      <c r="AL163" s="95" t="n"/>
      <c r="AM163" s="98" t="n"/>
      <c r="AN163" s="53" t="n"/>
      <c r="AO163" s="98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n"/>
      <c r="CD163" s="11" t="n"/>
      <c r="CE163" s="11" t="n"/>
      <c r="CF163" s="11" t="n"/>
      <c r="CG163" s="11" t="n"/>
      <c r="CH163" s="11" t="n"/>
      <c r="CI163" s="11" t="n"/>
    </row>
    <row r="164" customFormat="1" s="3">
      <c r="B164" s="11" t="n"/>
      <c r="C164" s="11" t="n"/>
      <c r="D164" s="11" t="n"/>
      <c r="E164" s="11" t="n"/>
      <c r="F164" s="11" t="n"/>
      <c r="G164" s="11" t="n"/>
      <c r="P164" s="25" t="n"/>
      <c r="Q164" s="25" t="n"/>
      <c r="R164" s="25" t="n"/>
      <c r="S164" s="25" t="n"/>
      <c r="T164" s="25" t="n"/>
      <c r="U164" s="25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94" t="n"/>
      <c r="AH164" s="95" t="n"/>
      <c r="AI164" s="95" t="n"/>
      <c r="AJ164" s="96" t="n"/>
      <c r="AK164" s="97" t="n"/>
      <c r="AL164" s="95" t="n"/>
      <c r="AM164" s="98" t="n"/>
      <c r="AN164" s="53" t="n"/>
      <c r="AO164" s="98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</row>
    <row r="165" customFormat="1" s="3">
      <c r="B165" s="11" t="n"/>
      <c r="C165" s="11" t="n"/>
      <c r="D165" s="11" t="n"/>
      <c r="E165" s="11" t="n"/>
      <c r="F165" s="11" t="n"/>
      <c r="G165" s="11" t="n"/>
      <c r="P165" s="25" t="n"/>
      <c r="Q165" s="25" t="n"/>
      <c r="R165" s="25" t="n"/>
      <c r="S165" s="25" t="n"/>
      <c r="T165" s="25" t="n"/>
      <c r="U165" s="25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94" t="n"/>
      <c r="AH165" s="95" t="n"/>
      <c r="AI165" s="95" t="n"/>
      <c r="AJ165" s="96" t="n"/>
      <c r="AK165" s="97" t="n"/>
      <c r="AL165" s="95" t="n"/>
      <c r="AM165" s="98" t="n"/>
      <c r="AN165" s="53" t="n"/>
      <c r="AO165" s="98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n"/>
      <c r="CD165" s="11" t="n"/>
      <c r="CE165" s="11" t="n"/>
      <c r="CF165" s="11" t="n"/>
      <c r="CG165" s="11" t="n"/>
      <c r="CH165" s="11" t="n"/>
      <c r="CI165" s="11" t="n"/>
    </row>
    <row r="166" customFormat="1" s="3">
      <c r="B166" s="11" t="n"/>
      <c r="C166" s="11" t="n"/>
      <c r="D166" s="11" t="n"/>
      <c r="E166" s="11" t="n"/>
      <c r="F166" s="11" t="n"/>
      <c r="G166" s="11" t="n"/>
      <c r="P166" s="25" t="n"/>
      <c r="Q166" s="25" t="n"/>
      <c r="R166" s="25" t="n"/>
      <c r="S166" s="25" t="n"/>
      <c r="T166" s="25" t="n"/>
      <c r="U166" s="25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  <c r="AE166" s="24" t="n"/>
      <c r="AF166" s="24" t="n"/>
      <c r="AG166" s="94" t="n"/>
      <c r="AH166" s="95" t="n"/>
      <c r="AI166" s="95" t="n"/>
      <c r="AJ166" s="96" t="n"/>
      <c r="AK166" s="97" t="n"/>
      <c r="AL166" s="95" t="n"/>
      <c r="AM166" s="98" t="n"/>
      <c r="AN166" s="53" t="n"/>
      <c r="AO166" s="98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</row>
    <row r="167" customFormat="1" s="3">
      <c r="B167" s="11" t="n"/>
      <c r="C167" s="11" t="n"/>
      <c r="D167" s="11" t="n"/>
      <c r="E167" s="11" t="n"/>
      <c r="F167" s="11" t="n"/>
      <c r="G167" s="11" t="n"/>
      <c r="P167" s="25" t="n"/>
      <c r="Q167" s="25" t="n"/>
      <c r="R167" s="25" t="n"/>
      <c r="S167" s="25" t="n"/>
      <c r="T167" s="25" t="n"/>
      <c r="U167" s="25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94" t="n"/>
      <c r="AH167" s="95" t="n"/>
      <c r="AI167" s="95" t="n"/>
      <c r="AJ167" s="96" t="n"/>
      <c r="AK167" s="97" t="n"/>
      <c r="AL167" s="95" t="n"/>
      <c r="AM167" s="98" t="n"/>
      <c r="AN167" s="53" t="n"/>
      <c r="AO167" s="98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n"/>
      <c r="CD167" s="11" t="n"/>
      <c r="CE167" s="11" t="n"/>
      <c r="CF167" s="11" t="n"/>
      <c r="CG167" s="11" t="n"/>
      <c r="CH167" s="11" t="n"/>
      <c r="CI167" s="11" t="n"/>
    </row>
    <row r="168">
      <c r="B168" s="11" t="n"/>
      <c r="C168" s="11" t="n"/>
      <c r="D168" s="11" t="n"/>
      <c r="E168" s="11" t="n"/>
      <c r="F168" s="11" t="n"/>
      <c r="G168" s="11" t="n"/>
      <c r="M168" s="11" t="n"/>
      <c r="V168" s="24" t="n"/>
      <c r="W168" s="24" t="n"/>
      <c r="X168" s="24" t="n"/>
    </row>
    <row r="169" customFormat="1" s="3">
      <c r="B169" s="11" t="n"/>
      <c r="C169" s="11" t="n"/>
      <c r="D169" s="11" t="n"/>
      <c r="E169" s="11" t="n"/>
      <c r="F169" s="11" t="n"/>
      <c r="G169" s="11" t="n"/>
      <c r="P169" s="25" t="n"/>
      <c r="Q169" s="25" t="n"/>
      <c r="R169" s="25" t="n"/>
      <c r="S169" s="25" t="n"/>
      <c r="T169" s="25" t="n"/>
      <c r="U169" s="25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94" t="n"/>
      <c r="AH169" s="95" t="n"/>
      <c r="AI169" s="95" t="n"/>
      <c r="AJ169" s="96" t="n"/>
      <c r="AK169" s="97" t="n"/>
      <c r="AL169" s="95" t="n"/>
      <c r="AM169" s="98" t="n"/>
      <c r="AN169" s="53" t="n"/>
      <c r="AO169" s="98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n"/>
      <c r="CD169" s="11" t="n"/>
      <c r="CE169" s="11" t="n"/>
      <c r="CF169" s="11" t="n"/>
      <c r="CG169" s="11" t="n"/>
      <c r="CH169" s="11" t="n"/>
      <c r="CI169" s="11" t="n"/>
    </row>
    <row r="170">
      <c r="B170" s="11" t="n"/>
      <c r="C170" s="11" t="n"/>
      <c r="D170" s="11" t="n"/>
      <c r="E170" s="11" t="n"/>
      <c r="F170" s="11" t="n"/>
      <c r="G170" s="11" t="n"/>
      <c r="M170" s="11" t="n"/>
    </row>
    <row r="171">
      <c r="B171" s="11" t="n"/>
      <c r="C171" s="11" t="n"/>
      <c r="D171" s="11" t="n"/>
      <c r="E171" s="11" t="n"/>
      <c r="F171" s="11" t="n"/>
      <c r="G171" s="11" t="n"/>
      <c r="M171" s="11" t="n"/>
    </row>
    <row r="172">
      <c r="B172" s="11" t="n"/>
      <c r="C172" s="11" t="n"/>
      <c r="D172" s="11" t="n"/>
      <c r="E172" s="11" t="n"/>
      <c r="F172" s="11" t="n"/>
      <c r="G172" s="11" t="n"/>
      <c r="M172" s="11" t="n"/>
    </row>
    <row r="173">
      <c r="B173" s="11" t="n"/>
      <c r="C173" s="11" t="n"/>
      <c r="D173" s="11" t="n"/>
      <c r="E173" s="11" t="n"/>
      <c r="F173" s="11" t="n"/>
      <c r="G173" s="11" t="n"/>
      <c r="M173" s="11" t="n"/>
    </row>
    <row r="174">
      <c r="B174" s="11" t="n"/>
      <c r="C174" s="11" t="n"/>
      <c r="D174" s="11" t="n"/>
      <c r="E174" s="11" t="n"/>
      <c r="F174" s="11" t="n"/>
      <c r="G174" s="11" t="n"/>
      <c r="M174" s="11" t="n"/>
    </row>
    <row r="175">
      <c r="B175" s="11" t="n"/>
      <c r="C175" s="11" t="n"/>
      <c r="D175" s="11" t="n"/>
      <c r="E175" s="11" t="n"/>
      <c r="F175" s="11" t="n"/>
      <c r="G175" s="11" t="n"/>
      <c r="M175" s="11" t="n"/>
    </row>
    <row r="176">
      <c r="B176" s="11" t="n"/>
      <c r="C176" s="11" t="n"/>
      <c r="D176" s="11" t="n"/>
      <c r="E176" s="11" t="n"/>
      <c r="F176" s="11" t="n"/>
      <c r="G176" s="11" t="n"/>
      <c r="M176" s="11" t="n"/>
    </row>
    <row r="177">
      <c r="B177" s="11" t="n"/>
      <c r="C177" s="11" t="n"/>
      <c r="D177" s="11" t="n"/>
      <c r="E177" s="11" t="n"/>
      <c r="F177" s="11" t="n"/>
      <c r="G177" s="11" t="n"/>
      <c r="M177" s="11" t="n"/>
    </row>
    <row r="178">
      <c r="B178" s="11" t="n"/>
      <c r="C178" s="11" t="n"/>
      <c r="D178" s="11" t="n"/>
      <c r="E178" s="11" t="n"/>
      <c r="F178" s="11" t="n"/>
      <c r="G178" s="11" t="n"/>
      <c r="M178" s="11" t="n"/>
    </row>
    <row r="179" customFormat="1" s="3">
      <c r="B179" s="11" t="n"/>
      <c r="C179" s="11" t="n"/>
      <c r="D179" s="11" t="n"/>
      <c r="E179" s="11" t="n"/>
      <c r="F179" s="11" t="n"/>
      <c r="G179" s="11" t="n"/>
      <c r="P179" s="25" t="n"/>
      <c r="Q179" s="25" t="n"/>
      <c r="R179" s="25" t="n"/>
      <c r="S179" s="25" t="n"/>
      <c r="T179" s="25" t="n"/>
      <c r="U179" s="25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94" t="n"/>
      <c r="AH179" s="95" t="n"/>
      <c r="AI179" s="95" t="n"/>
      <c r="AJ179" s="96" t="n"/>
      <c r="AK179" s="97" t="n"/>
      <c r="AL179" s="95" t="n"/>
      <c r="AM179" s="98" t="n"/>
      <c r="AN179" s="53" t="n"/>
      <c r="AO179" s="98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n"/>
      <c r="CD179" s="11" t="n"/>
      <c r="CE179" s="11" t="n"/>
      <c r="CF179" s="11" t="n"/>
      <c r="CG179" s="11" t="n"/>
      <c r="CH179" s="11" t="n"/>
      <c r="CI179" s="11" t="n"/>
    </row>
    <row r="180" customFormat="1" s="3">
      <c r="B180" s="11" t="n"/>
      <c r="C180" s="11" t="n"/>
      <c r="D180" s="11" t="n"/>
      <c r="E180" s="11" t="n"/>
      <c r="F180" s="11" t="n"/>
      <c r="G180" s="11" t="n"/>
      <c r="P180" s="25" t="n"/>
      <c r="Q180" s="25" t="n"/>
      <c r="R180" s="25" t="n"/>
      <c r="S180" s="25" t="n"/>
      <c r="T180" s="25" t="n"/>
      <c r="U180" s="25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94" t="n"/>
      <c r="AH180" s="95" t="n"/>
      <c r="AI180" s="95" t="n"/>
      <c r="AJ180" s="96" t="n"/>
      <c r="AK180" s="97" t="n"/>
      <c r="AL180" s="95" t="n"/>
      <c r="AM180" s="98" t="n"/>
      <c r="AN180" s="53" t="n"/>
      <c r="AO180" s="98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</row>
    <row r="181" customFormat="1" s="3">
      <c r="B181" s="11" t="n"/>
      <c r="C181" s="11" t="n"/>
      <c r="D181" s="11" t="n"/>
      <c r="E181" s="11" t="n"/>
      <c r="F181" s="11" t="n"/>
      <c r="G181" s="11" t="n"/>
      <c r="P181" s="25" t="n"/>
      <c r="Q181" s="25" t="n"/>
      <c r="R181" s="25" t="n"/>
      <c r="S181" s="25" t="n"/>
      <c r="T181" s="25" t="n"/>
      <c r="U181" s="25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94" t="n"/>
      <c r="AH181" s="95" t="n"/>
      <c r="AI181" s="95" t="n"/>
      <c r="AJ181" s="96" t="n"/>
      <c r="AK181" s="97" t="n"/>
      <c r="AL181" s="95" t="n"/>
      <c r="AM181" s="98" t="n"/>
      <c r="AN181" s="53" t="n"/>
      <c r="AO181" s="98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n"/>
      <c r="CD181" s="11" t="n"/>
      <c r="CE181" s="11" t="n"/>
      <c r="CF181" s="11" t="n"/>
      <c r="CG181" s="11" t="n"/>
      <c r="CH181" s="11" t="n"/>
      <c r="CI181" s="11" t="n"/>
    </row>
    <row r="182">
      <c r="B182" s="11" t="n"/>
      <c r="C182" s="11" t="n"/>
      <c r="D182" s="11" t="n"/>
      <c r="E182" s="11" t="n"/>
      <c r="F182" s="11" t="n"/>
      <c r="G182" s="11" t="n"/>
      <c r="M182" s="11" t="n"/>
    </row>
    <row r="183">
      <c r="B183" s="11" t="n"/>
      <c r="C183" s="11" t="n"/>
      <c r="D183" s="11" t="n"/>
      <c r="E183" s="11" t="n"/>
      <c r="F183" s="11" t="n"/>
      <c r="G183" s="11" t="n"/>
      <c r="M183" s="11" t="n"/>
    </row>
    <row r="184" customFormat="1" s="3">
      <c r="B184" s="11" t="n"/>
      <c r="C184" s="11" t="n"/>
      <c r="D184" s="11" t="n"/>
      <c r="E184" s="11" t="n"/>
      <c r="F184" s="11" t="n"/>
      <c r="G184" s="11" t="n"/>
      <c r="P184" s="25" t="n"/>
      <c r="Q184" s="25" t="n"/>
      <c r="R184" s="25" t="n"/>
      <c r="S184" s="25" t="n"/>
      <c r="T184" s="25" t="n"/>
      <c r="U184" s="25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94" t="n"/>
      <c r="AH184" s="95" t="n"/>
      <c r="AI184" s="95" t="n"/>
      <c r="AJ184" s="96" t="n"/>
      <c r="AK184" s="97" t="n"/>
      <c r="AL184" s="95" t="n"/>
      <c r="AM184" s="98" t="n"/>
      <c r="AN184" s="53" t="n"/>
      <c r="AO184" s="98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</row>
    <row r="185">
      <c r="B185" s="11" t="n"/>
      <c r="C185" s="11" t="n"/>
      <c r="D185" s="11" t="n"/>
      <c r="E185" s="11" t="n"/>
      <c r="F185" s="11" t="n"/>
      <c r="G185" s="11" t="n"/>
      <c r="M185" s="11" t="n"/>
    </row>
    <row r="186">
      <c r="B186" s="11" t="n"/>
      <c r="C186" s="11" t="n"/>
      <c r="D186" s="11" t="n"/>
      <c r="E186" s="11" t="n"/>
      <c r="F186" s="11" t="n"/>
      <c r="G186" s="11" t="n"/>
      <c r="M186" s="11" t="n"/>
    </row>
    <row r="187">
      <c r="B187" s="11" t="n"/>
      <c r="C187" s="11" t="n"/>
      <c r="D187" s="11" t="n"/>
      <c r="E187" s="11" t="n"/>
      <c r="F187" s="11" t="n"/>
      <c r="G187" s="11" t="n"/>
      <c r="M187" s="11" t="n"/>
    </row>
    <row r="188">
      <c r="B188" s="11" t="n"/>
      <c r="C188" s="11" t="n"/>
      <c r="D188" s="11" t="n"/>
      <c r="E188" s="11" t="n"/>
      <c r="F188" s="11" t="n"/>
      <c r="G188" s="11" t="n"/>
      <c r="M188" s="11" t="n"/>
    </row>
    <row r="189">
      <c r="B189" s="11" t="n"/>
      <c r="C189" s="11" t="n"/>
      <c r="D189" s="11" t="n"/>
      <c r="E189" s="11" t="n"/>
      <c r="F189" s="11" t="n"/>
      <c r="G189" s="11" t="n"/>
      <c r="M189" s="11" t="n"/>
    </row>
    <row r="190" customFormat="1" s="3">
      <c r="B190" s="11" t="n"/>
      <c r="C190" s="11" t="n"/>
      <c r="D190" s="11" t="n"/>
      <c r="E190" s="11" t="n"/>
      <c r="F190" s="11" t="n"/>
      <c r="G190" s="11" t="n"/>
      <c r="P190" s="25" t="n"/>
      <c r="Q190" s="25" t="n"/>
      <c r="R190" s="25" t="n"/>
      <c r="S190" s="25" t="n"/>
      <c r="T190" s="25" t="n"/>
      <c r="U190" s="25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94" t="n"/>
      <c r="AH190" s="95" t="n"/>
      <c r="AI190" s="95" t="n"/>
      <c r="AJ190" s="96" t="n"/>
      <c r="AK190" s="97" t="n"/>
      <c r="AL190" s="95" t="n"/>
      <c r="AM190" s="98" t="n"/>
      <c r="AN190" s="53" t="n"/>
      <c r="AO190" s="98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</row>
    <row r="191" customFormat="1" s="3">
      <c r="B191" s="11" t="n"/>
      <c r="C191" s="11" t="n"/>
      <c r="D191" s="11" t="n"/>
      <c r="E191" s="11" t="n"/>
      <c r="F191" s="11" t="n"/>
      <c r="G191" s="11" t="n"/>
      <c r="P191" s="25" t="n"/>
      <c r="Q191" s="25" t="n"/>
      <c r="R191" s="25" t="n"/>
      <c r="S191" s="25" t="n"/>
      <c r="T191" s="25" t="n"/>
      <c r="U191" s="25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94" t="n"/>
      <c r="AH191" s="95" t="n"/>
      <c r="AI191" s="95" t="n"/>
      <c r="AJ191" s="96" t="n"/>
      <c r="AK191" s="97" t="n"/>
      <c r="AL191" s="95" t="n"/>
      <c r="AM191" s="98" t="n"/>
      <c r="AN191" s="53" t="n"/>
      <c r="AO191" s="98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n"/>
      <c r="CD191" s="11" t="n"/>
      <c r="CE191" s="11" t="n"/>
      <c r="CF191" s="11" t="n"/>
      <c r="CG191" s="11" t="n"/>
      <c r="CH191" s="11" t="n"/>
      <c r="CI191" s="11" t="n"/>
    </row>
    <row r="192" customFormat="1" s="3">
      <c r="B192" s="11" t="n"/>
      <c r="C192" s="11" t="n"/>
      <c r="D192" s="11" t="n"/>
      <c r="E192" s="11" t="n"/>
      <c r="F192" s="11" t="n"/>
      <c r="G192" s="11" t="n"/>
      <c r="P192" s="25" t="n"/>
      <c r="Q192" s="25" t="n"/>
      <c r="R192" s="25" t="n"/>
      <c r="S192" s="25" t="n"/>
      <c r="T192" s="25" t="n"/>
      <c r="U192" s="25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94" t="n"/>
      <c r="AH192" s="95" t="n"/>
      <c r="AI192" s="95" t="n"/>
      <c r="AJ192" s="96" t="n"/>
      <c r="AK192" s="97" t="n"/>
      <c r="AL192" s="95" t="n"/>
      <c r="AM192" s="98" t="n"/>
      <c r="AN192" s="53" t="n"/>
      <c r="AO192" s="98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</row>
    <row r="193">
      <c r="B193" s="11" t="n"/>
      <c r="C193" s="11" t="n"/>
      <c r="D193" s="11" t="n"/>
      <c r="E193" s="11" t="n"/>
      <c r="F193" s="11" t="n"/>
      <c r="G193" s="11" t="n"/>
      <c r="M193" s="11" t="n"/>
    </row>
    <row r="194">
      <c r="B194" s="11" t="n"/>
      <c r="C194" s="11" t="n"/>
      <c r="D194" s="11" t="n"/>
      <c r="E194" s="11" t="n"/>
      <c r="F194" s="11" t="n"/>
      <c r="G194" s="11" t="n"/>
      <c r="M194" s="11" t="n"/>
    </row>
    <row r="195" customFormat="1" s="3">
      <c r="B195" s="11" t="n"/>
      <c r="C195" s="11" t="n"/>
      <c r="D195" s="11" t="n"/>
      <c r="E195" s="11" t="n"/>
      <c r="F195" s="11" t="n"/>
      <c r="G195" s="11" t="n"/>
      <c r="P195" s="25" t="n"/>
      <c r="Q195" s="25" t="n"/>
      <c r="R195" s="25" t="n"/>
      <c r="S195" s="25" t="n"/>
      <c r="T195" s="25" t="n"/>
      <c r="U195" s="25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94" t="n"/>
      <c r="AH195" s="95" t="n"/>
      <c r="AI195" s="95" t="n"/>
      <c r="AJ195" s="96" t="n"/>
      <c r="AK195" s="97" t="n"/>
      <c r="AL195" s="95" t="n"/>
      <c r="AM195" s="98" t="n"/>
      <c r="AN195" s="53" t="n"/>
      <c r="AO195" s="98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n"/>
      <c r="CD195" s="11" t="n"/>
      <c r="CE195" s="11" t="n"/>
      <c r="CF195" s="11" t="n"/>
      <c r="CG195" s="11" t="n"/>
      <c r="CH195" s="11" t="n"/>
      <c r="CI195" s="11" t="n"/>
    </row>
    <row r="196" customFormat="1" s="3">
      <c r="B196" s="11" t="n"/>
      <c r="C196" s="11" t="n"/>
      <c r="D196" s="11" t="n"/>
      <c r="E196" s="11" t="n"/>
      <c r="F196" s="11" t="n"/>
      <c r="G196" s="11" t="n"/>
      <c r="P196" s="25" t="n"/>
      <c r="Q196" s="25" t="n"/>
      <c r="R196" s="25" t="n"/>
      <c r="S196" s="25" t="n"/>
      <c r="T196" s="25" t="n"/>
      <c r="U196" s="25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94" t="n"/>
      <c r="AH196" s="95" t="n"/>
      <c r="AI196" s="95" t="n"/>
      <c r="AJ196" s="96" t="n"/>
      <c r="AK196" s="97" t="n"/>
      <c r="AL196" s="95" t="n"/>
      <c r="AM196" s="98" t="n"/>
      <c r="AN196" s="53" t="n"/>
      <c r="AO196" s="98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</row>
    <row r="197" customFormat="1" s="3">
      <c r="B197" s="11" t="n"/>
      <c r="C197" s="11" t="n"/>
      <c r="D197" s="11" t="n"/>
      <c r="E197" s="11" t="n"/>
      <c r="F197" s="11" t="n"/>
      <c r="G197" s="11" t="n"/>
      <c r="P197" s="25" t="n"/>
      <c r="Q197" s="25" t="n"/>
      <c r="R197" s="25" t="n"/>
      <c r="S197" s="25" t="n"/>
      <c r="T197" s="25" t="n"/>
      <c r="U197" s="25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94" t="n"/>
      <c r="AH197" s="95" t="n"/>
      <c r="AI197" s="95" t="n"/>
      <c r="AJ197" s="96" t="n"/>
      <c r="AK197" s="97" t="n"/>
      <c r="AL197" s="95" t="n"/>
      <c r="AM197" s="98" t="n"/>
      <c r="AN197" s="53" t="n"/>
      <c r="AO197" s="98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n"/>
      <c r="CD197" s="11" t="n"/>
      <c r="CE197" s="11" t="n"/>
      <c r="CF197" s="11" t="n"/>
      <c r="CG197" s="11" t="n"/>
      <c r="CH197" s="11" t="n"/>
      <c r="CI197" s="11" t="n"/>
    </row>
    <row r="198">
      <c r="B198" s="11" t="n"/>
      <c r="C198" s="11" t="n"/>
      <c r="D198" s="11" t="n"/>
      <c r="E198" s="11" t="n"/>
      <c r="F198" s="11" t="n"/>
      <c r="G198" s="11" t="n"/>
      <c r="M198" s="11" t="n"/>
    </row>
    <row r="199">
      <c r="B199" s="11" t="n"/>
      <c r="C199" s="11" t="n"/>
      <c r="D199" s="11" t="n"/>
      <c r="E199" s="11" t="n"/>
      <c r="F199" s="11" t="n"/>
      <c r="G199" s="11" t="n"/>
      <c r="M199" s="11" t="n"/>
    </row>
    <row r="200" customFormat="1" s="3">
      <c r="B200" s="11" t="n"/>
      <c r="C200" s="11" t="n"/>
      <c r="D200" s="11" t="n"/>
      <c r="E200" s="11" t="n"/>
      <c r="F200" s="11" t="n"/>
      <c r="G200" s="11" t="n"/>
      <c r="P200" s="25" t="n"/>
      <c r="Q200" s="25" t="n"/>
      <c r="R200" s="25" t="n"/>
      <c r="S200" s="25" t="n"/>
      <c r="T200" s="25" t="n"/>
      <c r="U200" s="25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94" t="n"/>
      <c r="AH200" s="95" t="n"/>
      <c r="AI200" s="95" t="n"/>
      <c r="AJ200" s="96" t="n"/>
      <c r="AK200" s="97" t="n"/>
      <c r="AL200" s="95" t="n"/>
      <c r="AM200" s="98" t="n"/>
      <c r="AN200" s="53" t="n"/>
      <c r="AO200" s="98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</row>
    <row r="201" customFormat="1" s="3">
      <c r="B201" s="11" t="n"/>
      <c r="C201" s="11" t="n"/>
      <c r="D201" s="11" t="n"/>
      <c r="E201" s="11" t="n"/>
      <c r="F201" s="11" t="n"/>
      <c r="G201" s="11" t="n"/>
      <c r="P201" s="25" t="n"/>
      <c r="Q201" s="25" t="n"/>
      <c r="R201" s="25" t="n"/>
      <c r="S201" s="25" t="n"/>
      <c r="T201" s="25" t="n"/>
      <c r="U201" s="25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94" t="n"/>
      <c r="AH201" s="95" t="n"/>
      <c r="AI201" s="95" t="n"/>
      <c r="AJ201" s="96" t="n"/>
      <c r="AK201" s="97" t="n"/>
      <c r="AL201" s="95" t="n"/>
      <c r="AM201" s="98" t="n"/>
      <c r="AN201" s="53" t="n"/>
      <c r="AO201" s="98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n"/>
      <c r="CD201" s="11" t="n"/>
      <c r="CE201" s="11" t="n"/>
      <c r="CF201" s="11" t="n"/>
      <c r="CG201" s="11" t="n"/>
      <c r="CH201" s="11" t="n"/>
      <c r="CI201" s="11" t="n"/>
    </row>
    <row r="202" customFormat="1" s="3">
      <c r="B202" s="11" t="n"/>
      <c r="C202" s="11" t="n"/>
      <c r="D202" s="11" t="n"/>
      <c r="E202" s="11" t="n"/>
      <c r="F202" s="11" t="n"/>
      <c r="G202" s="11" t="n"/>
      <c r="P202" s="25" t="n"/>
      <c r="Q202" s="25" t="n"/>
      <c r="R202" s="25" t="n"/>
      <c r="S202" s="25" t="n"/>
      <c r="T202" s="25" t="n"/>
      <c r="U202" s="25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94" t="n"/>
      <c r="AH202" s="95" t="n"/>
      <c r="AI202" s="95" t="n"/>
      <c r="AJ202" s="96" t="n"/>
      <c r="AK202" s="97" t="n"/>
      <c r="AL202" s="95" t="n"/>
      <c r="AM202" s="98" t="n"/>
      <c r="AN202" s="53" t="n"/>
      <c r="AO202" s="98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</row>
    <row r="203" customFormat="1" s="3">
      <c r="B203" s="11" t="n"/>
      <c r="C203" s="11" t="n"/>
      <c r="D203" s="11" t="n"/>
      <c r="E203" s="11" t="n"/>
      <c r="F203" s="11" t="n"/>
      <c r="G203" s="11" t="n"/>
      <c r="P203" s="25" t="n"/>
      <c r="Q203" s="25" t="n"/>
      <c r="R203" s="25" t="n"/>
      <c r="S203" s="25" t="n"/>
      <c r="T203" s="25" t="n"/>
      <c r="U203" s="25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94" t="n"/>
      <c r="AH203" s="95" t="n"/>
      <c r="AI203" s="95" t="n"/>
      <c r="AJ203" s="96" t="n"/>
      <c r="AK203" s="97" t="n"/>
      <c r="AL203" s="95" t="n"/>
      <c r="AM203" s="98" t="n"/>
      <c r="AN203" s="53" t="n"/>
      <c r="AO203" s="98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n"/>
      <c r="CD203" s="11" t="n"/>
      <c r="CE203" s="11" t="n"/>
      <c r="CF203" s="11" t="n"/>
      <c r="CG203" s="11" t="n"/>
      <c r="CH203" s="11" t="n"/>
      <c r="CI203" s="11" t="n"/>
    </row>
    <row r="204" customFormat="1" s="3">
      <c r="B204" s="11" t="n"/>
      <c r="C204" s="11" t="n"/>
      <c r="D204" s="11" t="n"/>
      <c r="E204" s="11" t="n"/>
      <c r="F204" s="11" t="n"/>
      <c r="G204" s="11" t="n"/>
      <c r="P204" s="25" t="n"/>
      <c r="Q204" s="25" t="n"/>
      <c r="R204" s="25" t="n"/>
      <c r="S204" s="25" t="n"/>
      <c r="T204" s="25" t="n"/>
      <c r="U204" s="25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94" t="n"/>
      <c r="AH204" s="95" t="n"/>
      <c r="AI204" s="95" t="n"/>
      <c r="AJ204" s="96" t="n"/>
      <c r="AK204" s="97" t="n"/>
      <c r="AL204" s="95" t="n"/>
      <c r="AM204" s="98" t="n"/>
      <c r="AN204" s="53" t="n"/>
      <c r="AO204" s="98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</row>
    <row r="205" customFormat="1" s="3">
      <c r="B205" s="11" t="n"/>
      <c r="C205" s="11" t="n"/>
      <c r="D205" s="11" t="n"/>
      <c r="E205" s="11" t="n"/>
      <c r="F205" s="11" t="n"/>
      <c r="G205" s="11" t="n"/>
      <c r="P205" s="25" t="n"/>
      <c r="Q205" s="25" t="n"/>
      <c r="R205" s="25" t="n"/>
      <c r="S205" s="25" t="n"/>
      <c r="T205" s="25" t="n"/>
      <c r="U205" s="25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94" t="n"/>
      <c r="AH205" s="95" t="n"/>
      <c r="AI205" s="95" t="n"/>
      <c r="AJ205" s="96" t="n"/>
      <c r="AK205" s="97" t="n"/>
      <c r="AL205" s="95" t="n"/>
      <c r="AM205" s="98" t="n"/>
      <c r="AN205" s="53" t="n"/>
      <c r="AO205" s="98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n"/>
      <c r="CD205" s="11" t="n"/>
      <c r="CE205" s="11" t="n"/>
      <c r="CF205" s="11" t="n"/>
      <c r="CG205" s="11" t="n"/>
      <c r="CH205" s="11" t="n"/>
      <c r="CI205" s="11" t="n"/>
    </row>
    <row r="206" customFormat="1" s="3">
      <c r="B206" s="11" t="n"/>
      <c r="C206" s="11" t="n"/>
      <c r="D206" s="11" t="n"/>
      <c r="E206" s="11" t="n"/>
      <c r="F206" s="11" t="n"/>
      <c r="G206" s="11" t="n"/>
      <c r="P206" s="25" t="n"/>
      <c r="Q206" s="25" t="n"/>
      <c r="R206" s="25" t="n"/>
      <c r="S206" s="25" t="n"/>
      <c r="T206" s="25" t="n"/>
      <c r="U206" s="25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94" t="n"/>
      <c r="AH206" s="95" t="n"/>
      <c r="AI206" s="95" t="n"/>
      <c r="AJ206" s="96" t="n"/>
      <c r="AK206" s="97" t="n"/>
      <c r="AL206" s="95" t="n"/>
      <c r="AM206" s="98" t="n"/>
      <c r="AN206" s="53" t="n"/>
      <c r="AO206" s="98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</row>
    <row r="207" customFormat="1" s="3">
      <c r="B207" s="11" t="n"/>
      <c r="C207" s="11" t="n"/>
      <c r="D207" s="11" t="n"/>
      <c r="E207" s="11" t="n"/>
      <c r="F207" s="11" t="n"/>
      <c r="G207" s="11" t="n"/>
      <c r="P207" s="25" t="n"/>
      <c r="Q207" s="25" t="n"/>
      <c r="R207" s="25" t="n"/>
      <c r="S207" s="25" t="n"/>
      <c r="T207" s="25" t="n"/>
      <c r="U207" s="25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94" t="n"/>
      <c r="AH207" s="95" t="n"/>
      <c r="AI207" s="95" t="n"/>
      <c r="AJ207" s="96" t="n"/>
      <c r="AK207" s="97" t="n"/>
      <c r="AL207" s="95" t="n"/>
      <c r="AM207" s="98" t="n"/>
      <c r="AN207" s="53" t="n"/>
      <c r="AO207" s="98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n"/>
      <c r="CD207" s="11" t="n"/>
      <c r="CE207" s="11" t="n"/>
      <c r="CF207" s="11" t="n"/>
      <c r="CG207" s="11" t="n"/>
      <c r="CH207" s="11" t="n"/>
      <c r="CI207" s="11" t="n"/>
    </row>
    <row r="208" customFormat="1" s="3">
      <c r="B208" s="11" t="n"/>
      <c r="C208" s="11" t="n"/>
      <c r="D208" s="11" t="n"/>
      <c r="E208" s="11" t="n"/>
      <c r="F208" s="11" t="n"/>
      <c r="G208" s="11" t="n"/>
      <c r="P208" s="25" t="n"/>
      <c r="Q208" s="25" t="n"/>
      <c r="R208" s="25" t="n"/>
      <c r="S208" s="25" t="n"/>
      <c r="T208" s="25" t="n"/>
      <c r="U208" s="25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94" t="n"/>
      <c r="AH208" s="95" t="n"/>
      <c r="AI208" s="95" t="n"/>
      <c r="AJ208" s="96" t="n"/>
      <c r="AK208" s="97" t="n"/>
      <c r="AL208" s="95" t="n"/>
      <c r="AM208" s="98" t="n"/>
      <c r="AN208" s="53" t="n"/>
      <c r="AO208" s="98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</row>
    <row r="209" customFormat="1" s="3">
      <c r="B209" s="11" t="n"/>
      <c r="C209" s="11" t="n"/>
      <c r="D209" s="11" t="n"/>
      <c r="E209" s="11" t="n"/>
      <c r="F209" s="11" t="n"/>
      <c r="G209" s="11" t="n"/>
      <c r="P209" s="25" t="n"/>
      <c r="Q209" s="25" t="n"/>
      <c r="R209" s="25" t="n"/>
      <c r="S209" s="25" t="n"/>
      <c r="T209" s="25" t="n"/>
      <c r="U209" s="25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94" t="n"/>
      <c r="AH209" s="95" t="n"/>
      <c r="AI209" s="95" t="n"/>
      <c r="AJ209" s="96" t="n"/>
      <c r="AK209" s="97" t="n"/>
      <c r="AL209" s="95" t="n"/>
      <c r="AM209" s="98" t="n"/>
      <c r="AN209" s="53" t="n"/>
      <c r="AO209" s="98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n"/>
      <c r="CD209" s="11" t="n"/>
      <c r="CE209" s="11" t="n"/>
      <c r="CF209" s="11" t="n"/>
      <c r="CG209" s="11" t="n"/>
      <c r="CH209" s="11" t="n"/>
      <c r="CI209" s="11" t="n"/>
    </row>
    <row r="210">
      <c r="B210" s="11" t="n"/>
      <c r="C210" s="11" t="n"/>
      <c r="D210" s="11" t="n"/>
      <c r="E210" s="11" t="n"/>
      <c r="F210" s="11" t="n"/>
      <c r="G210" s="11" t="n"/>
      <c r="M210" s="11" t="n"/>
    </row>
    <row r="211">
      <c r="B211" s="11" t="n"/>
      <c r="C211" s="11" t="n"/>
      <c r="D211" s="11" t="n"/>
      <c r="E211" s="11" t="n"/>
      <c r="F211" s="11" t="n"/>
      <c r="G211" s="11" t="n"/>
      <c r="M211" s="11" t="n"/>
    </row>
    <row r="212">
      <c r="B212" s="11" t="n"/>
      <c r="C212" s="11" t="n"/>
      <c r="D212" s="11" t="n"/>
      <c r="E212" s="11" t="n"/>
      <c r="F212" s="11" t="n"/>
      <c r="G212" s="11" t="n"/>
      <c r="M212" s="11" t="n"/>
    </row>
    <row r="213" customFormat="1" s="3">
      <c r="B213" s="11" t="n"/>
      <c r="C213" s="11" t="n"/>
      <c r="D213" s="11" t="n"/>
      <c r="E213" s="11" t="n"/>
      <c r="F213" s="11" t="n"/>
      <c r="G213" s="11" t="n"/>
      <c r="P213" s="25" t="n"/>
      <c r="Q213" s="25" t="n"/>
      <c r="R213" s="25" t="n"/>
      <c r="S213" s="25" t="n"/>
      <c r="T213" s="25" t="n"/>
      <c r="U213" s="25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94" t="n"/>
      <c r="AH213" s="95" t="n"/>
      <c r="AI213" s="95" t="n"/>
      <c r="AJ213" s="96" t="n"/>
      <c r="AK213" s="97" t="n"/>
      <c r="AL213" s="95" t="n"/>
      <c r="AM213" s="98" t="n"/>
      <c r="AN213" s="53" t="n"/>
      <c r="AO213" s="98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n"/>
      <c r="CD213" s="11" t="n"/>
      <c r="CE213" s="11" t="n"/>
      <c r="CF213" s="11" t="n"/>
      <c r="CG213" s="11" t="n"/>
      <c r="CH213" s="11" t="n"/>
      <c r="CI213" s="11" t="n"/>
    </row>
    <row r="214" customFormat="1" s="3">
      <c r="B214" s="11" t="n"/>
      <c r="C214" s="11" t="n"/>
      <c r="D214" s="11" t="n"/>
      <c r="E214" s="11" t="n"/>
      <c r="F214" s="11" t="n"/>
      <c r="G214" s="11" t="n"/>
      <c r="P214" s="25" t="n"/>
      <c r="Q214" s="25" t="n"/>
      <c r="R214" s="25" t="n"/>
      <c r="S214" s="25" t="n"/>
      <c r="T214" s="25" t="n"/>
      <c r="U214" s="25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94" t="n"/>
      <c r="AH214" s="95" t="n"/>
      <c r="AI214" s="95" t="n"/>
      <c r="AJ214" s="96" t="n"/>
      <c r="AK214" s="97" t="n"/>
      <c r="AL214" s="95" t="n"/>
      <c r="AM214" s="98" t="n"/>
      <c r="AN214" s="53" t="n"/>
      <c r="AO214" s="98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</row>
    <row r="215" customFormat="1" s="3">
      <c r="B215" s="11" t="n"/>
      <c r="C215" s="11" t="n"/>
      <c r="D215" s="11" t="n"/>
      <c r="E215" s="11" t="n"/>
      <c r="F215" s="11" t="n"/>
      <c r="G215" s="11" t="n"/>
      <c r="P215" s="25" t="n"/>
      <c r="Q215" s="25" t="n"/>
      <c r="R215" s="25" t="n"/>
      <c r="S215" s="25" t="n"/>
      <c r="T215" s="25" t="n"/>
      <c r="U215" s="25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94" t="n"/>
      <c r="AH215" s="95" t="n"/>
      <c r="AI215" s="95" t="n"/>
      <c r="AJ215" s="96" t="n"/>
      <c r="AK215" s="97" t="n"/>
      <c r="AL215" s="95" t="n"/>
      <c r="AM215" s="98" t="n"/>
      <c r="AN215" s="53" t="n"/>
      <c r="AO215" s="98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n"/>
      <c r="CD215" s="11" t="n"/>
      <c r="CE215" s="11" t="n"/>
      <c r="CF215" s="11" t="n"/>
      <c r="CG215" s="11" t="n"/>
      <c r="CH215" s="11" t="n"/>
      <c r="CI215" s="11" t="n"/>
    </row>
    <row r="216">
      <c r="M216" s="11" t="n"/>
    </row>
    <row r="217">
      <c r="M217" s="11" t="n"/>
    </row>
    <row r="218">
      <c r="M218" s="11" t="n"/>
    </row>
    <row r="219">
      <c r="M219" s="11" t="n"/>
    </row>
    <row r="220">
      <c r="C220" s="135" t="n"/>
      <c r="E220" s="135" t="n"/>
      <c r="G220" s="135" t="n"/>
      <c r="M220" s="11" t="n"/>
    </row>
    <row r="221">
      <c r="M221" s="11" t="n"/>
    </row>
    <row r="222">
      <c r="M222" s="11" t="n"/>
    </row>
    <row r="223">
      <c r="M223" s="11" t="n"/>
    </row>
    <row r="224">
      <c r="M224" s="11" t="n"/>
    </row>
    <row r="225">
      <c r="C225" s="135" t="n"/>
      <c r="D225" s="135" t="n"/>
      <c r="M225" s="11" t="n"/>
    </row>
    <row r="226">
      <c r="M226" s="11" t="n"/>
    </row>
    <row r="227">
      <c r="M227" s="11" t="n"/>
    </row>
    <row r="228">
      <c r="M228" s="11" t="n"/>
    </row>
    <row r="229">
      <c r="M229" s="11" t="n"/>
    </row>
    <row r="230">
      <c r="M230" s="11" t="n"/>
    </row>
    <row r="231">
      <c r="M231" s="11" t="n"/>
    </row>
    <row r="232">
      <c r="M232" s="11" t="n"/>
    </row>
    <row r="233">
      <c r="M233" s="11" t="n"/>
    </row>
    <row r="234">
      <c r="M234" s="11" t="n"/>
    </row>
    <row r="235">
      <c r="M235" s="11" t="n"/>
    </row>
    <row r="236">
      <c r="M236" s="11" t="n"/>
    </row>
    <row r="237">
      <c r="M237" s="11" t="n"/>
    </row>
    <row r="238">
      <c r="M238" s="11" t="n"/>
    </row>
    <row r="239">
      <c r="M239" s="11" t="n"/>
    </row>
    <row r="240">
      <c r="M240" s="11" t="n"/>
    </row>
    <row r="241">
      <c r="M241" s="11" t="n"/>
    </row>
    <row r="242">
      <c r="M242" s="11" t="n"/>
    </row>
    <row r="243">
      <c r="M243" s="11" t="n"/>
    </row>
    <row r="244">
      <c r="M244" s="11" t="n"/>
    </row>
    <row r="245">
      <c r="M245" s="11" t="n"/>
    </row>
    <row r="246">
      <c r="M246" s="11" t="n"/>
    </row>
    <row r="247">
      <c r="M247" s="11" t="n"/>
    </row>
    <row r="248">
      <c r="M248" s="11" t="n"/>
    </row>
    <row r="249">
      <c r="M249" s="11" t="n"/>
    </row>
    <row r="250">
      <c r="M250" s="11" t="n"/>
    </row>
    <row r="251">
      <c r="M251" s="11" t="n"/>
    </row>
    <row r="252">
      <c r="M252" s="11" t="n"/>
    </row>
    <row r="253">
      <c r="M253" s="11" t="n"/>
    </row>
    <row r="254">
      <c r="M254" s="11" t="n"/>
    </row>
    <row r="255">
      <c r="M255" s="11" t="n"/>
    </row>
    <row r="256">
      <c r="M256" s="11" t="n"/>
    </row>
    <row r="257">
      <c r="M257" s="11" t="n"/>
    </row>
    <row r="258">
      <c r="M258" s="11" t="n"/>
    </row>
    <row r="259">
      <c r="M259" s="11" t="n"/>
    </row>
    <row r="260">
      <c r="M260" s="11" t="n"/>
    </row>
    <row r="261">
      <c r="M261" s="11" t="n"/>
    </row>
    <row r="262">
      <c r="M262" s="11" t="n"/>
    </row>
    <row r="263">
      <c r="M263" s="11" t="n"/>
    </row>
    <row r="264">
      <c r="M264" s="11" t="n"/>
    </row>
    <row r="265">
      <c r="M265" s="11" t="n"/>
    </row>
    <row r="266">
      <c r="M266" s="11" t="n"/>
    </row>
    <row r="267">
      <c r="M267" s="11" t="n"/>
    </row>
    <row r="268">
      <c r="M268" s="11" t="n"/>
    </row>
    <row r="269">
      <c r="M269" s="11" t="n"/>
    </row>
    <row r="270">
      <c r="M270" s="11" t="n"/>
    </row>
    <row r="271">
      <c r="M271" s="11" t="n"/>
    </row>
  </sheetData>
  <mergeCells count="36">
    <mergeCell ref="AU1:AU2"/>
    <mergeCell ref="C1:C2"/>
    <mergeCell ref="E1:E2"/>
    <mergeCell ref="K1:K2"/>
    <mergeCell ref="P1:AF1"/>
    <mergeCell ref="M1:M2"/>
    <mergeCell ref="O1:O2"/>
    <mergeCell ref="AH1:AH2"/>
    <mergeCell ref="AN1:AN2"/>
    <mergeCell ref="AP1:AP2"/>
    <mergeCell ref="L1:L2"/>
    <mergeCell ref="N1:N2"/>
    <mergeCell ref="AK1:AK2"/>
    <mergeCell ref="AW1:AW2"/>
    <mergeCell ref="AM1:AM2"/>
    <mergeCell ref="AY1:AY2"/>
    <mergeCell ref="AO1:AO2"/>
    <mergeCell ref="AQ1:AQ2"/>
    <mergeCell ref="G1:G2"/>
    <mergeCell ref="A1:B2"/>
    <mergeCell ref="I1:I2"/>
    <mergeCell ref="AR1:AR2"/>
    <mergeCell ref="AT1:AT2"/>
    <mergeCell ref="BA1:BA2"/>
    <mergeCell ref="AV1:AV2"/>
    <mergeCell ref="AJ1:AJ2"/>
    <mergeCell ref="AL1:AL2"/>
    <mergeCell ref="AX1:AX2"/>
    <mergeCell ref="AZ1:AZ2"/>
    <mergeCell ref="D1:D2"/>
    <mergeCell ref="F1:F2"/>
    <mergeCell ref="H1:H2"/>
    <mergeCell ref="J1:J2"/>
    <mergeCell ref="AG1:AG2"/>
    <mergeCell ref="AS1:AS2"/>
    <mergeCell ref="AI1:AI2"/>
  </mergeCells>
  <pageMargins left="0.2" right="0.2" top="0.25" bottom="0.25" header="0" footer="0"/>
  <pageSetup orientation="landscape" paperSize="9" scale="57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 Mushtaq</dc:creator>
  <dcterms:created xmlns:dcterms="http://purl.org/dc/terms/" xmlns:xsi="http://www.w3.org/2001/XMLSchema-instance" xsi:type="dcterms:W3CDTF">2023-11-03T22:02:00Z</dcterms:created>
  <dcterms:modified xmlns:dcterms="http://purl.org/dc/terms/" xmlns:xsi="http://www.w3.org/2001/XMLSchema-instance" xsi:type="dcterms:W3CDTF">2026-07-15T20:46:24Z</dcterms:modified>
  <cp:lastModifiedBy>Sama Mushtaq</cp:lastModifiedBy>
  <cp:lastPrinted>2023-11-12T01:39:18Z</cp:lastPrinted>
</cp:coreProperties>
</file>